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cha técnica" sheetId="1" state="visible" r:id="rId3"/>
    <sheet name="Cuestionario" sheetId="2" state="visible" r:id="rId4"/>
    <sheet name="Muestra" sheetId="3" state="visible" r:id="rId5"/>
    <sheet name="Respuestas" sheetId="4" state="visible" r:id="rId6"/>
    <sheet name="Resultados" sheetId="5" state="visible" r:id="rId7"/>
    <sheet name="Análisi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<sst xmlns="http://schemas.openxmlformats.org/spreadsheetml/2006/main" count="410" uniqueCount="133">
  <si>
    <t xml:space="preserve">ALCALDÍA DE SANTIAGO DE CALI · MODELO INTEGRADO DE PLANEACIÓN Y GESTIÓN (MIPG)</t>
  </si>
  <si>
    <t xml:space="preserve">ANEXO F. CUESTIONARIO Y RESULTADOS DE LA ENCUESTA DE PREPARACIÓN AL CAMBIO</t>
  </si>
  <si>
    <t xml:space="preserve">Código: Anexo F de la guía MEDE01.08.04.P001.G001 · Versión 001 · Simulación académica (no corresponde a un formato aprobado por DATIC)</t>
  </si>
  <si>
    <t xml:space="preserve">Estrategia de uso y apropiación del SIG para la gestión de intervenciones en el espacio público de Santiago de Cali</t>
  </si>
  <si>
    <t xml:space="preserve">Aspecto</t>
  </si>
  <si>
    <t xml:space="preserve">Descripción</t>
  </si>
  <si>
    <t xml:space="preserve">Objetivo</t>
  </si>
  <si>
    <t xml:space="preserve">Conocer la percepción de las partes interesadas frente al uso y la apropiación del SIG, según los cinco pilares del cambio</t>
  </si>
  <si>
    <t xml:space="preserve">Instrumento</t>
  </si>
  <si>
    <t xml:space="preserve">Cuestionario en Google Forms con 3 preguntas de identificación, 15 afirmaciones (3 por pilar) y 2 preguntas abiertas (hoja «Cuestionario»)</t>
  </si>
  <si>
    <t xml:space="preserve">Escala</t>
  </si>
  <si>
    <t xml:space="preserve">1 = totalmente en desacuerdo; 2 = en desacuerdo; 3 = de acuerdo; 4 = totalmente de acuerdo</t>
  </si>
  <si>
    <t xml:space="preserve">Diseño y cálculo de la muestra</t>
  </si>
  <si>
    <t xml:space="preserve">26/04/2027 al 07/05/2027 (tarea 3 del cronograma F004); ver hoja «Muestra»</t>
  </si>
  <si>
    <t xml:space="preserve">Aplicación</t>
  </si>
  <si>
    <t xml:space="preserve">11/05/2027 al 21/05/2027 (tarea 4)</t>
  </si>
  <si>
    <t xml:space="preserve">Tabulación y análisis</t>
  </si>
  <si>
    <t xml:space="preserve">24/05/2027 al 04/06/2027 (tarea 5); ver hojas «Respuestas», «Resultados» y «Análisis»</t>
  </si>
  <si>
    <t xml:space="preserve">Muestreo</t>
  </si>
  <si>
    <t xml:space="preserve">Estratificado por público; confianza del 90 %, precisión del 5 % y P = Q = 0,5</t>
  </si>
  <si>
    <t xml:space="preserve">Valores de referencia (escala difusa de la guía)</t>
  </si>
  <si>
    <t xml:space="preserve">Satisfactorio: mayor a 3,00. Aceptable: entre 2,00 y 2,99. Bajo: entre 1,00 y 1,99</t>
  </si>
  <si>
    <t xml:space="preserve">Hojas: Cuestionario · Muestra · Respuestas · Resultados · Análisis</t>
  </si>
  <si>
    <t xml:space="preserve">DATOS SIMULADOS para la simulación académica. Para usar datos reales, reemplace los conteos de la hoja «Respuestas» (texto azul); las demás hojas se recalculan solas.</t>
  </si>
  <si>
    <t xml:space="preserve">CUESTIONARIO DE PREPARACIÓN AL CAMBIO</t>
  </si>
  <si>
    <t xml:space="preserve">Código: Anexo F · Versión 001 · Simulación académica (no corresponde a un formato aprobado por DATIC)</t>
  </si>
  <si>
    <t xml:space="preserve">Presentación: la Alcaldía de Santiago de Cali está implementando un SIG para radicar, revisar y hacer seguimiento a las intervenciones en el espacio público. La encuesta dura cerca de 8 minutos, es voluntaria y sus datos se tratan conforme a la Ley 1581 de 2012.</t>
  </si>
  <si>
    <t xml:space="preserve">Parte 1. Identificación</t>
  </si>
  <si>
    <t xml:space="preserve">No.</t>
  </si>
  <si>
    <t xml:space="preserve">Pregunta</t>
  </si>
  <si>
    <t xml:space="preserve">1</t>
  </si>
  <si>
    <t xml:space="preserve">Nombre (opcional para los solicitantes externos)</t>
  </si>
  <si>
    <t xml:space="preserve">2</t>
  </si>
  <si>
    <t xml:space="preserve">Organismo o entidad a la que pertenece. Para los externos: tipo de solicitante (ciudadano, contratista o empresa de servicios públicos)</t>
  </si>
  <si>
    <t xml:space="preserve">3</t>
  </si>
  <si>
    <t xml:space="preserve">Rol o tipo de vínculo (solicitante externo, revisor técnico, inspector de campo, coordinador o administrador funcional, administrador tecnológico) y tipo de vinculación (planta, contrato o externo)</t>
  </si>
  <si>
    <t xml:space="preserve">Parte 2. Afirmaciones (marque de 1 a 4: 1 = totalmente en desacuerdo, 4 = totalmente de acuerdo)</t>
  </si>
  <si>
    <t xml:space="preserve">Pilar</t>
  </si>
  <si>
    <t xml:space="preserve">Afirmación</t>
  </si>
  <si>
    <t xml:space="preserve">4</t>
  </si>
  <si>
    <t xml:space="preserve">Conciencia</t>
  </si>
  <si>
    <t xml:space="preserve">Comprendo por qué la entidad necesita centralizar las solicitudes de intervención en un solo sistema con mapa</t>
  </si>
  <si>
    <t xml:space="preserve">Identifico los problemas de trabajar con correos, PDF y hojas de cálculo dispersos</t>
  </si>
  <si>
    <t xml:space="preserve">Conozco los beneficios que el sistema tendrá para mi rol</t>
  </si>
  <si>
    <t xml:space="preserve">Compromiso</t>
  </si>
  <si>
    <t xml:space="preserve">Estoy dispuesto a radicar, revisar o registrar visitas únicamente en el sistema</t>
  </si>
  <si>
    <t xml:space="preserve">Considero que el sistema mejorará mi trabajo o mi trámite</t>
  </si>
  <si>
    <t xml:space="preserve">Estoy dispuesto a participar en las capacitaciones y actividades que se programen</t>
  </si>
  <si>
    <t xml:space="preserve">Conocimiento</t>
  </si>
  <si>
    <t xml:space="preserve">Tengo experiencia previa con sistemas de información geográfica y mapas web</t>
  </si>
  <si>
    <t xml:space="preserve">Sé qué datos y documentos debe tener una solicitud de intervención</t>
  </si>
  <si>
    <t xml:space="preserve">Conozco cómo se hace el seguimiento de los estados de una solicitud</t>
  </si>
  <si>
    <t xml:space="preserve">Capacidad</t>
  </si>
  <si>
    <t xml:space="preserve">Me siento en capacidad de usar el sistema desde un celular o un computador sin apoyo</t>
  </si>
  <si>
    <t xml:space="preserve">Cuento con el tiempo y los equipos necesarios para usarlo en mi jornada</t>
  </si>
  <si>
    <t xml:space="preserve">Podría trabajar con el sistema aunque la conectividad sea limitada</t>
  </si>
  <si>
    <t xml:space="preserve">Cultura</t>
  </si>
  <si>
    <t xml:space="preserve">Creo que el uso del sistema se mantendrá cuando termine el acompañamiento</t>
  </si>
  <si>
    <t xml:space="preserve">Compartiría con mis compañeros o contactos lo que aprenda sobre el sistema</t>
  </si>
  <si>
    <t xml:space="preserve">Considero que el sistema se integrará en mi forma habitual de trabajar</t>
  </si>
  <si>
    <t xml:space="preserve">Parte 3. Preguntas abiertas</t>
  </si>
  <si>
    <t xml:space="preserve">¿Qué dificultades cree que podrían afectar el uso del sistema en su trabajo o en sus trámites?</t>
  </si>
  <si>
    <t xml:space="preserve">¿Qué apoyo o capacitación le sería más útil antes de la puesta en marcha?</t>
  </si>
  <si>
    <t xml:space="preserve">CÁLCULO DE LA MUESTRA ESTRATIFICADA</t>
  </si>
  <si>
    <t xml:space="preserve">Código: Sección 4.6.1 · Versión 001 · Simulación académica (no corresponde a un formato aprobado por DATIC)</t>
  </si>
  <si>
    <t xml:space="preserve">Fórmula de la guía por estrato: n = N·P·Q / (N·E + P·Q), con E = d² / Z²</t>
  </si>
  <si>
    <t xml:space="preserve">Parámetros</t>
  </si>
  <si>
    <t xml:space="preserve">Nivel de confianza</t>
  </si>
  <si>
    <t xml:space="preserve">Z (distribución normal para 90 %)</t>
  </si>
  <si>
    <t xml:space="preserve">Precisión (d)</t>
  </si>
  <si>
    <t xml:space="preserve">Proporción de éxito (P)</t>
  </si>
  <si>
    <t xml:space="preserve">Proporción de fracaso (Q = 1 − P)</t>
  </si>
  <si>
    <t xml:space="preserve">Error (E = d² / Z²)</t>
  </si>
  <si>
    <t xml:space="preserve">Público</t>
  </si>
  <si>
    <t xml:space="preserve">Población (N)</t>
  </si>
  <si>
    <t xml:space="preserve">n teórica</t>
  </si>
  <si>
    <t xml:space="preserve">Tamaño de muestra</t>
  </si>
  <si>
    <t xml:space="preserve">Solicitantes externos</t>
  </si>
  <si>
    <t xml:space="preserve">Revisores técnicos</t>
  </si>
  <si>
    <t xml:space="preserve">Inspectores de campo</t>
  </si>
  <si>
    <t xml:space="preserve">Coordinadores o administradores funcionales</t>
  </si>
  <si>
    <t xml:space="preserve">Administradores tecnológicos</t>
  </si>
  <si>
    <t xml:space="preserve">Total</t>
  </si>
  <si>
    <t xml:space="preserve">Las poblaciones son las del año 1 del Taller 2 (texto azul = supuesto editable). Las muestras internas se acercan a un censo por el tamaño pequeño de cada estrato.</t>
  </si>
  <si>
    <t xml:space="preserve">RESPUESTAS TABULADAS (DATOS SIMULADOS)</t>
  </si>
  <si>
    <t xml:space="preserve">Conteo de respuestas por afirmación y público (texto azul = dato de entrada). Reemplace los conteos por los reales; el resto se calcula.</t>
  </si>
  <si>
    <t xml:space="preserve">Valor 1</t>
  </si>
  <si>
    <t xml:space="preserve">Valor 2</t>
  </si>
  <si>
    <t xml:space="preserve">Valor 3</t>
  </si>
  <si>
    <t xml:space="preserve">Valor 4</t>
  </si>
  <si>
    <t xml:space="preserve">Respuestas (n)</t>
  </si>
  <si>
    <t xml:space="preserve">Parcial (valor × respuestas)</t>
  </si>
  <si>
    <t xml:space="preserve">Calificación</t>
  </si>
  <si>
    <t xml:space="preserve">Resultado</t>
  </si>
  <si>
    <t xml:space="preserve">RESULTADOS DE LA ENCUESTA (DATOS SIMULADOS)</t>
  </si>
  <si>
    <t xml:space="preserve">Todas las cifras se calculan con fórmulas a partir de la hoja «Respuestas». Escala de 1 a 4.</t>
  </si>
  <si>
    <t xml:space="preserve">Tabla F-3. Calificación promedio por pilar y por público</t>
  </si>
  <si>
    <t xml:space="preserve">General</t>
  </si>
  <si>
    <t xml:space="preserve">Promedio general</t>
  </si>
  <si>
    <t xml:space="preserve">Personas que respondieron (n)</t>
  </si>
  <si>
    <t xml:space="preserve">Muestra calculada (hoja Muestra)</t>
  </si>
  <si>
    <t xml:space="preserve">Cobertura de la muestra</t>
  </si>
  <si>
    <t xml:space="preserve">Tabla F-4. Calificación por afirmación y distribución de las respuestas (todos los públicos)</t>
  </si>
  <si>
    <t xml:space="preserve">Tabla F-5. Rúbrica de tabulación de la afirmación 1 (formato de la guía)</t>
  </si>
  <si>
    <t xml:space="preserve">Valor de la respuesta</t>
  </si>
  <si>
    <t xml:space="preserve">Respuestas</t>
  </si>
  <si>
    <t xml:space="preserve">Acumulado</t>
  </si>
  <si>
    <t xml:space="preserve">ANÁLISIS Y FACTORES CLAVE (sobre datos simulados)</t>
  </si>
  <si>
    <t xml:space="preserve">Lectura general</t>
  </si>
  <si>
    <t xml:space="preserve">La preparación general al cambio es aceptable (2,81 sobre 4,00). Solo el pilar de conciencia alcanza el rango satisfactorio (3,19): los públicos entienden por qué se necesita el sistema, pero aún no saben usarlo ni se sienten capaces de hacerlo.</t>
  </si>
  <si>
    <t xml:space="preserve">Factores que respaldan</t>
  </si>
  <si>
    <t xml:space="preserve">Conciencia satisfactoria en los cinco públicos, con las calificaciones más altas en coordinadores (3,46) y administradores tecnológicos (3,47). Coordinadores y administradores tecnológicos tienen preparación satisfactoria en general (3,18 y 3,24), lo que respalda su rol de voceros y facilitadores. La afirmación mejor calificada es la comprensión de la necesidad del sistema (3,28).</t>
  </si>
  <si>
    <t xml:space="preserve">Factores que restringen</t>
  </si>
  <si>
    <t xml:space="preserve">Conocimiento es el pilar más bajo (2,47); la afirmación sobre el seguimiento de estados tiene la calificación más baja (2,36). Los revisores muestran el compromiso más bajo (2,68) y una cultura de uso de 2,57, coherente con su resistencia alta en el Anexo A. Los inspectores tienen la capacidad más baja (2,33) y la afirmación sobre conectividad limitada obtiene 2,50, lo que confirma el riesgo de la sección 4.8. Los solicitantes externos, el grupo más numeroso, tienen un conocimiento bajo (2,41).</t>
  </si>
  <si>
    <t xml:space="preserve">Ajustes al plan de movilización (Anexo B)</t>
  </si>
  <si>
    <t xml:space="preserve">Hallazgo</t>
  </si>
  <si>
    <t xml:space="preserve">Ajuste propuesto</t>
  </si>
  <si>
    <t xml:space="preserve">Actividad del plan (Anexo B)</t>
  </si>
  <si>
    <t xml:space="preserve">Conocimiento bajo, en especial sobre el seguimiento de estados</t>
  </si>
  <si>
    <t xml:space="preserve">Reforzar en las capacitaciones el recorrido del expediente y los estados del trámite</t>
  </si>
  <si>
    <t xml:space="preserve">4, 5, 6 y 7</t>
  </si>
  <si>
    <t xml:space="preserve">Compromiso bajo en revisores</t>
  </si>
  <si>
    <t xml:space="preserve">Involucrar a revisores como usuarios clave y mostrar el beneficio de menor carga manual</t>
  </si>
  <si>
    <t xml:space="preserve">1, 3 y 4</t>
  </si>
  <si>
    <t xml:space="preserve">Capacidad baja en inspectores y conectividad limitada</t>
  </si>
  <si>
    <t xml:space="preserve">Mantener la práctica en campo con modo sin conexión y sincronización posterior</t>
  </si>
  <si>
    <t xml:space="preserve">6 y 9</t>
  </si>
  <si>
    <t xml:space="preserve">Conocimiento bajo en solicitantes externos</t>
  </si>
  <si>
    <t xml:space="preserve">Priorizar la guía paso a paso, el video corto y las preguntas frecuentes</t>
  </si>
  <si>
    <t xml:space="preserve">Cultura de uso aceptable</t>
  </si>
  <si>
    <t xml:space="preserve">Sostener la comunidad de práctica, el módulo virtual y la encuesta de seguimiento</t>
  </si>
  <si>
    <t xml:space="preserve">10</t>
  </si>
  <si>
    <t xml:space="preserve">Las cifras citadas en este texto corresponden a la simulación; si cambia la hoja «Respuestas», actualice este análisis.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</si>
</sst>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%"/>
    <numFmt numFmtId="166" formatCode="0.000"/>
    <numFmt numFmtId="167" formatCode="0.0%"/>
    <numFmt numFmtId="168" formatCode="0.00"/>
    <numFmt numFmtId="169" formatCode="0.000000"/>
    <numFmt numFmtId="170" formatCode="#,##0"/>
    <numFmt numFmtId="171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595959"/>
      <name val="Arial"/>
      <family val="0"/>
      <charset val="1"/>
    </font>
    <font>
      <b val="true"/>
      <sz val="14"/>
      <color rgb="FF1F3864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i val="true"/>
      <sz val="9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99999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0</v>
      </c>
      <c r="B1" s="1"/>
    </row>
    <row r="2" customFormat="false" ht="17.35" hidden="false" customHeight="false" outlineLevel="0" collapsed="false">
      <c r="A2" s="2" t="s">
        <v>1</v>
      </c>
      <c r="B2" s="2"/>
    </row>
    <row r="3" customFormat="false" ht="15" hidden="false" customHeight="false" outlineLevel="0" collapsed="false">
      <c r="A3" s="3" t="s">
        <v>2</v>
      </c>
      <c r="B3" s="3"/>
    </row>
    <row r="4" customFormat="false" ht="15" hidden="false" customHeight="false" outlineLevel="0" collapsed="false">
      <c r="A4" s="4" t="s">
        <v>3</v>
      </c>
      <c r="B4" s="4"/>
    </row>
    <row r="6" customFormat="false" ht="15" hidden="false" customHeight="false" outlineLevel="0" collapsed="false">
      <c r="A6" s="5" t="s">
        <v>4</v>
      </c>
      <c r="B6" s="5" t="s">
        <v>5</v>
      </c>
    </row>
    <row r="7" customFormat="false" ht="15" hidden="false" customHeight="false" outlineLevel="0" collapsed="false">
      <c r="A7" s="6" t="s">
        <v>6</v>
      </c>
      <c r="B7" s="6" t="s">
        <v>7</v>
      </c>
    </row>
    <row r="8" customFormat="false" ht="23.85" hidden="false" customHeight="false" outlineLevel="0" collapsed="false">
      <c r="A8" s="6" t="s">
        <v>8</v>
      </c>
      <c r="B8" s="6" t="s">
        <v>9</v>
      </c>
    </row>
    <row r="9" customFormat="false" ht="15" hidden="false" customHeight="false" outlineLevel="0" collapsed="false">
      <c r="A9" s="6" t="s">
        <v>10</v>
      </c>
      <c r="B9" s="6" t="s">
        <v>11</v>
      </c>
    </row>
    <row r="10" customFormat="false" ht="15" hidden="false" customHeight="false" outlineLevel="0" collapsed="false">
      <c r="A10" s="6" t="s">
        <v>12</v>
      </c>
      <c r="B10" s="6" t="s">
        <v>13</v>
      </c>
    </row>
    <row r="11" customFormat="false" ht="15" hidden="false" customHeight="false" outlineLevel="0" collapsed="false">
      <c r="A11" s="6" t="s">
        <v>14</v>
      </c>
      <c r="B11" s="6" t="s">
        <v>15</v>
      </c>
    </row>
    <row r="12" customFormat="false" ht="15" hidden="false" customHeight="false" outlineLevel="0" collapsed="false">
      <c r="A12" s="6" t="s">
        <v>16</v>
      </c>
      <c r="B12" s="6" t="s">
        <v>17</v>
      </c>
    </row>
    <row r="13" customFormat="false" ht="15" hidden="false" customHeight="false" outlineLevel="0" collapsed="false">
      <c r="A13" s="6" t="s">
        <v>18</v>
      </c>
      <c r="B13" s="6" t="s">
        <v>19</v>
      </c>
    </row>
    <row r="14" customFormat="false" ht="23.85" hidden="false" customHeight="false" outlineLevel="0" collapsed="false">
      <c r="A14" s="6" t="s">
        <v>20</v>
      </c>
      <c r="B14" s="6" t="s">
        <v>21</v>
      </c>
    </row>
    <row r="15" customFormat="false" ht="23.85" hidden="false" customHeight="false" outlineLevel="0" collapsed="false">
      <c r="A15" s="7" t="s">
        <v>22</v>
      </c>
      <c r="B15" s="6" t="s">
        <v>23</v>
      </c>
    </row>
  </sheetData>
  <mergeCells count="4">
    <mergeCell ref="A1:B1"/>
    <mergeCell ref="A2:B2"/>
    <mergeCell ref="A3:B3"/>
    <mergeCell ref="A4:B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90"/>
    <col collapsed="false" customWidth="true" hidden="false" outlineLevel="0" max="7" min="4" style="0" width="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7.35" hidden="false" customHeight="false" outlineLevel="0" collapsed="false">
      <c r="A2" s="2" t="s">
        <v>24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3" t="s">
        <v>25</v>
      </c>
      <c r="B3" s="3"/>
      <c r="C3" s="3"/>
      <c r="D3" s="3"/>
      <c r="E3" s="3"/>
      <c r="F3" s="3"/>
      <c r="G3" s="3"/>
    </row>
    <row r="4" customFormat="false" ht="15" hidden="false" customHeight="false" outlineLevel="0" collapsed="false">
      <c r="A4" s="4" t="s">
        <v>26</v>
      </c>
      <c r="B4" s="4"/>
      <c r="C4" s="4"/>
      <c r="D4" s="4"/>
      <c r="E4" s="4"/>
      <c r="F4" s="4"/>
      <c r="G4" s="4"/>
    </row>
    <row r="6" customFormat="false" ht="15" hidden="false" customHeight="false" outlineLevel="0" collapsed="false">
      <c r="A6" s="8" t="s">
        <v>27</v>
      </c>
    </row>
    <row r="7" customFormat="false" ht="15" hidden="false" customHeight="false" outlineLevel="0" collapsed="false">
      <c r="A7" s="5" t="s">
        <v>28</v>
      </c>
      <c r="B7" s="5" t="s">
        <v>29</v>
      </c>
    </row>
    <row r="8" customFormat="false" ht="46.25" hidden="false" customHeight="false" outlineLevel="0" collapsed="false">
      <c r="A8" s="6" t="s">
        <v>30</v>
      </c>
      <c r="B8" s="6" t="s">
        <v>31</v>
      </c>
    </row>
    <row r="9" customFormat="false" ht="102.2" hidden="false" customHeight="false" outlineLevel="0" collapsed="false">
      <c r="A9" s="6" t="s">
        <v>32</v>
      </c>
      <c r="B9" s="6" t="s">
        <v>33</v>
      </c>
    </row>
    <row r="10" customFormat="false" ht="147" hidden="false" customHeight="false" outlineLevel="0" collapsed="false">
      <c r="A10" s="6" t="s">
        <v>34</v>
      </c>
      <c r="B10" s="6" t="s">
        <v>35</v>
      </c>
    </row>
    <row r="12" customFormat="false" ht="15" hidden="false" customHeight="false" outlineLevel="0" collapsed="false">
      <c r="A12" s="8" t="s">
        <v>36</v>
      </c>
    </row>
    <row r="13" customFormat="false" ht="15" hidden="false" customHeight="false" outlineLevel="0" collapsed="false">
      <c r="A13" s="5" t="s">
        <v>28</v>
      </c>
      <c r="B13" s="5" t="s">
        <v>37</v>
      </c>
      <c r="C13" s="5" t="s">
        <v>38</v>
      </c>
      <c r="D13" s="5" t="s">
        <v>30</v>
      </c>
      <c r="E13" s="5" t="s">
        <v>32</v>
      </c>
      <c r="F13" s="5" t="s">
        <v>34</v>
      </c>
      <c r="G13" s="5" t="s">
        <v>39</v>
      </c>
    </row>
    <row r="14" customFormat="false" ht="15" hidden="false" customHeight="false" outlineLevel="0" collapsed="false">
      <c r="A14" s="6" t="n">
        <v>1</v>
      </c>
      <c r="B14" s="6" t="s">
        <v>40</v>
      </c>
      <c r="C14" s="6" t="s">
        <v>41</v>
      </c>
      <c r="D14" s="6"/>
      <c r="E14" s="6"/>
      <c r="F14" s="6"/>
      <c r="G14" s="6"/>
    </row>
    <row r="15" customFormat="false" ht="15" hidden="false" customHeight="false" outlineLevel="0" collapsed="false">
      <c r="A15" s="6" t="n">
        <v>2</v>
      </c>
      <c r="B15" s="6" t="s">
        <v>40</v>
      </c>
      <c r="C15" s="6" t="s">
        <v>42</v>
      </c>
      <c r="D15" s="6"/>
      <c r="E15" s="6"/>
      <c r="F15" s="6"/>
      <c r="G15" s="6"/>
    </row>
    <row r="16" customFormat="false" ht="15" hidden="false" customHeight="false" outlineLevel="0" collapsed="false">
      <c r="A16" s="6" t="n">
        <v>3</v>
      </c>
      <c r="B16" s="6" t="s">
        <v>40</v>
      </c>
      <c r="C16" s="6" t="s">
        <v>43</v>
      </c>
      <c r="D16" s="6"/>
      <c r="E16" s="6"/>
      <c r="F16" s="6"/>
      <c r="G16" s="6"/>
    </row>
    <row r="17" customFormat="false" ht="15" hidden="false" customHeight="false" outlineLevel="0" collapsed="false">
      <c r="A17" s="6" t="n">
        <v>4</v>
      </c>
      <c r="B17" s="6" t="s">
        <v>44</v>
      </c>
      <c r="C17" s="6" t="s">
        <v>45</v>
      </c>
      <c r="D17" s="6"/>
      <c r="E17" s="6"/>
      <c r="F17" s="6"/>
      <c r="G17" s="6"/>
    </row>
    <row r="18" customFormat="false" ht="15" hidden="false" customHeight="false" outlineLevel="0" collapsed="false">
      <c r="A18" s="6" t="n">
        <v>5</v>
      </c>
      <c r="B18" s="6" t="s">
        <v>44</v>
      </c>
      <c r="C18" s="6" t="s">
        <v>46</v>
      </c>
      <c r="D18" s="6"/>
      <c r="E18" s="6"/>
      <c r="F18" s="6"/>
      <c r="G18" s="6"/>
    </row>
    <row r="19" customFormat="false" ht="15" hidden="false" customHeight="false" outlineLevel="0" collapsed="false">
      <c r="A19" s="6" t="n">
        <v>6</v>
      </c>
      <c r="B19" s="6" t="s">
        <v>44</v>
      </c>
      <c r="C19" s="6" t="s">
        <v>47</v>
      </c>
      <c r="D19" s="6"/>
      <c r="E19" s="6"/>
      <c r="F19" s="6"/>
      <c r="G19" s="6"/>
    </row>
    <row r="20" customFormat="false" ht="15" hidden="false" customHeight="false" outlineLevel="0" collapsed="false">
      <c r="A20" s="6" t="n">
        <v>7</v>
      </c>
      <c r="B20" s="6" t="s">
        <v>48</v>
      </c>
      <c r="C20" s="6" t="s">
        <v>49</v>
      </c>
      <c r="D20" s="6"/>
      <c r="E20" s="6"/>
      <c r="F20" s="6"/>
      <c r="G20" s="6"/>
    </row>
    <row r="21" customFormat="false" ht="15" hidden="false" customHeight="false" outlineLevel="0" collapsed="false">
      <c r="A21" s="6" t="n">
        <v>8</v>
      </c>
      <c r="B21" s="6" t="s">
        <v>48</v>
      </c>
      <c r="C21" s="6" t="s">
        <v>50</v>
      </c>
      <c r="D21" s="6"/>
      <c r="E21" s="6"/>
      <c r="F21" s="6"/>
      <c r="G21" s="6"/>
    </row>
    <row r="22" customFormat="false" ht="15" hidden="false" customHeight="false" outlineLevel="0" collapsed="false">
      <c r="A22" s="6" t="n">
        <v>9</v>
      </c>
      <c r="B22" s="6" t="s">
        <v>48</v>
      </c>
      <c r="C22" s="6" t="s">
        <v>51</v>
      </c>
      <c r="D22" s="6"/>
      <c r="E22" s="6"/>
      <c r="F22" s="6"/>
      <c r="G22" s="6"/>
    </row>
    <row r="23" customFormat="false" ht="15" hidden="false" customHeight="false" outlineLevel="0" collapsed="false">
      <c r="A23" s="6" t="n">
        <v>10</v>
      </c>
      <c r="B23" s="6" t="s">
        <v>52</v>
      </c>
      <c r="C23" s="6" t="s">
        <v>53</v>
      </c>
      <c r="D23" s="6"/>
      <c r="E23" s="6"/>
      <c r="F23" s="6"/>
      <c r="G23" s="6"/>
    </row>
    <row r="24" customFormat="false" ht="15" hidden="false" customHeight="false" outlineLevel="0" collapsed="false">
      <c r="A24" s="6" t="n">
        <v>11</v>
      </c>
      <c r="B24" s="6" t="s">
        <v>52</v>
      </c>
      <c r="C24" s="6" t="s">
        <v>54</v>
      </c>
      <c r="D24" s="6"/>
      <c r="E24" s="6"/>
      <c r="F24" s="6"/>
      <c r="G24" s="6"/>
    </row>
    <row r="25" customFormat="false" ht="15" hidden="false" customHeight="false" outlineLevel="0" collapsed="false">
      <c r="A25" s="6" t="n">
        <v>12</v>
      </c>
      <c r="B25" s="6" t="s">
        <v>52</v>
      </c>
      <c r="C25" s="6" t="s">
        <v>55</v>
      </c>
      <c r="D25" s="6"/>
      <c r="E25" s="6"/>
      <c r="F25" s="6"/>
      <c r="G25" s="6"/>
    </row>
    <row r="26" customFormat="false" ht="15" hidden="false" customHeight="false" outlineLevel="0" collapsed="false">
      <c r="A26" s="6" t="n">
        <v>13</v>
      </c>
      <c r="B26" s="6" t="s">
        <v>56</v>
      </c>
      <c r="C26" s="6" t="s">
        <v>57</v>
      </c>
      <c r="D26" s="6"/>
      <c r="E26" s="6"/>
      <c r="F26" s="6"/>
      <c r="G26" s="6"/>
    </row>
    <row r="27" customFormat="false" ht="15" hidden="false" customHeight="false" outlineLevel="0" collapsed="false">
      <c r="A27" s="6" t="n">
        <v>14</v>
      </c>
      <c r="B27" s="6" t="s">
        <v>56</v>
      </c>
      <c r="C27" s="6" t="s">
        <v>58</v>
      </c>
      <c r="D27" s="6"/>
      <c r="E27" s="6"/>
      <c r="F27" s="6"/>
      <c r="G27" s="6"/>
    </row>
    <row r="28" customFormat="false" ht="15" hidden="false" customHeight="false" outlineLevel="0" collapsed="false">
      <c r="A28" s="6" t="n">
        <v>15</v>
      </c>
      <c r="B28" s="6" t="s">
        <v>56</v>
      </c>
      <c r="C28" s="6" t="s">
        <v>59</v>
      </c>
      <c r="D28" s="6"/>
      <c r="E28" s="6"/>
      <c r="F28" s="6"/>
      <c r="G28" s="6"/>
    </row>
    <row r="30" customFormat="false" ht="15" hidden="false" customHeight="false" outlineLevel="0" collapsed="false">
      <c r="A30" s="8" t="s">
        <v>60</v>
      </c>
    </row>
    <row r="31" customFormat="false" ht="15" hidden="false" customHeight="false" outlineLevel="0" collapsed="false">
      <c r="A31" s="5" t="s">
        <v>28</v>
      </c>
      <c r="B31" s="5" t="s">
        <v>29</v>
      </c>
    </row>
    <row r="32" customFormat="false" ht="68.65" hidden="false" customHeight="false" outlineLevel="0" collapsed="false">
      <c r="A32" s="6" t="s">
        <v>30</v>
      </c>
      <c r="B32" s="6" t="s">
        <v>61</v>
      </c>
    </row>
    <row r="33" customFormat="false" ht="57.45" hidden="false" customHeight="false" outlineLevel="0" collapsed="false">
      <c r="A33" s="6" t="s">
        <v>32</v>
      </c>
      <c r="B33" s="6" t="s">
        <v>62</v>
      </c>
    </row>
  </sheetData>
  <mergeCells count="4">
    <mergeCell ref="A1:G1"/>
    <mergeCell ref="A2:G2"/>
    <mergeCell ref="A3:G3"/>
    <mergeCell ref="A4:G4"/>
  </mergeCells>
  <dataValidations count="1">
    <dataValidation allowBlank="true" errorStyle="stop" operator="between" showDropDown="false" showErrorMessage="false" showInputMessage="false" sqref="D14:G28" type="list">
      <formula1>"X"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8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7.35" hidden="false" customHeight="false" outlineLevel="0" collapsed="false">
      <c r="A2" s="2" t="s">
        <v>63</v>
      </c>
      <c r="B2" s="2"/>
      <c r="C2" s="2"/>
      <c r="D2" s="2"/>
      <c r="E2" s="2"/>
    </row>
    <row r="3" customFormat="false" ht="15" hidden="false" customHeight="false" outlineLevel="0" collapsed="false">
      <c r="A3" s="3" t="s">
        <v>64</v>
      </c>
      <c r="B3" s="3"/>
      <c r="C3" s="3"/>
      <c r="D3" s="3"/>
      <c r="E3" s="3"/>
    </row>
    <row r="4" customFormat="false" ht="15" hidden="false" customHeight="false" outlineLevel="0" collapsed="false">
      <c r="A4" s="4" t="s">
        <v>65</v>
      </c>
      <c r="B4" s="4"/>
      <c r="C4" s="4"/>
      <c r="D4" s="4"/>
      <c r="E4" s="4"/>
    </row>
    <row r="6" customFormat="false" ht="15" hidden="false" customHeight="false" outlineLevel="0" collapsed="false">
      <c r="A6" s="8" t="s">
        <v>66</v>
      </c>
    </row>
    <row r="7" customFormat="false" ht="15" hidden="false" customHeight="false" outlineLevel="0" collapsed="false">
      <c r="A7" s="9" t="s">
        <v>67</v>
      </c>
      <c r="B7" s="10" t="n">
        <v>0.9</v>
      </c>
    </row>
    <row r="8" customFormat="false" ht="15" hidden="false" customHeight="false" outlineLevel="0" collapsed="false">
      <c r="A8" s="9" t="s">
        <v>68</v>
      </c>
      <c r="B8" s="11" t="n">
        <v>1.645</v>
      </c>
    </row>
    <row r="9" customFormat="false" ht="15" hidden="false" customHeight="false" outlineLevel="0" collapsed="false">
      <c r="A9" s="9" t="s">
        <v>69</v>
      </c>
      <c r="B9" s="12" t="n">
        <v>0.05</v>
      </c>
    </row>
    <row r="10" customFormat="false" ht="15" hidden="false" customHeight="false" outlineLevel="0" collapsed="false">
      <c r="A10" s="9" t="s">
        <v>70</v>
      </c>
      <c r="B10" s="13" t="n">
        <v>0.5</v>
      </c>
    </row>
    <row r="11" customFormat="false" ht="15" hidden="false" customHeight="false" outlineLevel="0" collapsed="false">
      <c r="A11" s="9" t="s">
        <v>71</v>
      </c>
      <c r="B11" s="14" t="n">
        <f aca="false">1-B10</f>
        <v>0.5</v>
      </c>
    </row>
    <row r="12" customFormat="false" ht="15" hidden="false" customHeight="false" outlineLevel="0" collapsed="false">
      <c r="A12" s="9" t="s">
        <v>72</v>
      </c>
      <c r="B12" s="15" t="n">
        <f aca="false">B9^2/B8^2</f>
        <v>0.00092386433976035</v>
      </c>
    </row>
    <row r="14" customFormat="false" ht="15" hidden="false" customHeight="false" outlineLevel="0" collapsed="false">
      <c r="A14" s="5" t="s">
        <v>73</v>
      </c>
      <c r="B14" s="5" t="s">
        <v>74</v>
      </c>
      <c r="C14" s="5" t="s">
        <v>75</v>
      </c>
      <c r="D14" s="5" t="s">
        <v>76</v>
      </c>
    </row>
    <row r="15" customFormat="false" ht="15" hidden="false" customHeight="false" outlineLevel="0" collapsed="false">
      <c r="A15" s="9" t="s">
        <v>77</v>
      </c>
      <c r="B15" s="16" t="n">
        <v>2000</v>
      </c>
      <c r="C15" s="14" t="n">
        <f aca="false">B15*$B$10*$B$11/(B15*$B$12+$B$10*$B$11)</f>
        <v>238.353036253593</v>
      </c>
      <c r="D15" s="9" t="n">
        <f aca="false">ROUNDUP(C15,0)</f>
        <v>239</v>
      </c>
    </row>
    <row r="16" customFormat="false" ht="15" hidden="false" customHeight="false" outlineLevel="0" collapsed="false">
      <c r="A16" s="9" t="s">
        <v>78</v>
      </c>
      <c r="B16" s="16" t="n">
        <v>45</v>
      </c>
      <c r="C16" s="14" t="n">
        <f aca="false">B16*$B$10*$B$11/(B16*$B$12+$B$10*$B$11)</f>
        <v>38.5837010163101</v>
      </c>
      <c r="D16" s="9" t="n">
        <f aca="false">ROUNDUP(C16,0)</f>
        <v>39</v>
      </c>
    </row>
    <row r="17" customFormat="false" ht="15" hidden="false" customHeight="false" outlineLevel="0" collapsed="false">
      <c r="A17" s="9" t="s">
        <v>79</v>
      </c>
      <c r="B17" s="16" t="n">
        <v>50</v>
      </c>
      <c r="C17" s="14" t="n">
        <f aca="false">B17*$B$10*$B$11/(B17*$B$12+$B$10*$B$11)</f>
        <v>42.2021818295241</v>
      </c>
      <c r="D17" s="9" t="n">
        <f aca="false">ROUNDUP(C17,0)</f>
        <v>43</v>
      </c>
    </row>
    <row r="18" customFormat="false" ht="15" hidden="false" customHeight="false" outlineLevel="0" collapsed="false">
      <c r="A18" s="9" t="s">
        <v>80</v>
      </c>
      <c r="B18" s="16" t="n">
        <v>20</v>
      </c>
      <c r="C18" s="14" t="n">
        <f aca="false">B18*$B$10*$B$11/(B18*$B$12+$B$10*$B$11)</f>
        <v>18.6235493500572</v>
      </c>
      <c r="D18" s="9" t="n">
        <f aca="false">ROUNDUP(C18,0)</f>
        <v>19</v>
      </c>
    </row>
    <row r="19" customFormat="false" ht="15" hidden="false" customHeight="false" outlineLevel="0" collapsed="false">
      <c r="A19" s="9" t="s">
        <v>81</v>
      </c>
      <c r="B19" s="16" t="n">
        <v>5</v>
      </c>
      <c r="C19" s="14" t="n">
        <f aca="false">B19*$B$10*$B$11/(B19*$B$12+$B$10*$B$11)</f>
        <v>4.90928964722744</v>
      </c>
      <c r="D19" s="9" t="n">
        <f aca="false">ROUNDUP(C19,0)</f>
        <v>5</v>
      </c>
    </row>
    <row r="20" customFormat="false" ht="15" hidden="false" customHeight="false" outlineLevel="0" collapsed="false">
      <c r="A20" s="17" t="s">
        <v>82</v>
      </c>
      <c r="B20" s="18" t="n">
        <f aca="false">SUM(B15:B19)</f>
        <v>2120</v>
      </c>
      <c r="C20" s="17"/>
      <c r="D20" s="17" t="n">
        <f aca="false">SUM(D15:D19)</f>
        <v>345</v>
      </c>
    </row>
    <row r="22" customFormat="false" ht="15" hidden="false" customHeight="false" outlineLevel="0" collapsed="false">
      <c r="A22" s="19" t="s">
        <v>83</v>
      </c>
    </row>
  </sheetData>
  <mergeCells count="4">
    <mergeCell ref="A1:E1"/>
    <mergeCell ref="A2:E2"/>
    <mergeCell ref="A3:E3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5" topLeftCell="E6" activePane="bottomRight" state="frozen"/>
      <selection pane="topLeft" activeCell="A1" activeCellId="0" sqref="A1"/>
      <selection pane="topRight" activeCell="E1" activeCellId="0" sqref="E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60"/>
    <col collapsed="false" customWidth="true" hidden="false" outlineLevel="0" max="4" min="4" style="0" width="38"/>
    <col collapsed="false" customWidth="true" hidden="false" outlineLevel="0" max="8" min="5" style="0" width="9"/>
    <col collapsed="false" customWidth="true" hidden="false" outlineLevel="0" max="9" min="9" style="0" width="13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7.35" hidden="false" customHeight="false" outlineLevel="0" collapsed="false">
      <c r="A2" s="2" t="s">
        <v>84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customFormat="false" ht="15" hidden="false" customHeight="false" outlineLevel="0" collapsed="false">
      <c r="A4" s="4" t="s">
        <v>85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5" customFormat="false" ht="39.75" hidden="false" customHeight="true" outlineLevel="0" collapsed="false">
      <c r="A5" s="5" t="s">
        <v>28</v>
      </c>
      <c r="B5" s="5" t="s">
        <v>37</v>
      </c>
      <c r="C5" s="5" t="s">
        <v>38</v>
      </c>
      <c r="D5" s="5" t="s">
        <v>73</v>
      </c>
      <c r="E5" s="5" t="s">
        <v>86</v>
      </c>
      <c r="F5" s="5" t="s">
        <v>87</v>
      </c>
      <c r="G5" s="5" t="s">
        <v>88</v>
      </c>
      <c r="H5" s="5" t="s">
        <v>89</v>
      </c>
      <c r="I5" s="5" t="s">
        <v>90</v>
      </c>
      <c r="J5" s="5" t="s">
        <v>91</v>
      </c>
      <c r="K5" s="5" t="s">
        <v>92</v>
      </c>
      <c r="L5" s="5" t="s">
        <v>93</v>
      </c>
    </row>
    <row r="6" customFormat="false" ht="23.85" hidden="false" customHeight="false" outlineLevel="0" collapsed="false">
      <c r="A6" s="6" t="n">
        <v>1</v>
      </c>
      <c r="B6" s="6" t="s">
        <v>40</v>
      </c>
      <c r="C6" s="6" t="s">
        <v>41</v>
      </c>
      <c r="D6" s="6" t="s">
        <v>77</v>
      </c>
      <c r="E6" s="20" t="n">
        <v>2</v>
      </c>
      <c r="F6" s="20" t="n">
        <v>32</v>
      </c>
      <c r="G6" s="20" t="n">
        <v>117</v>
      </c>
      <c r="H6" s="20" t="n">
        <v>88</v>
      </c>
      <c r="I6" s="6" t="n">
        <f aca="false">SUM(E6:H6)</f>
        <v>239</v>
      </c>
      <c r="J6" s="6" t="n">
        <f aca="false">E6+2*F6+3*G6+4*H6</f>
        <v>769</v>
      </c>
      <c r="K6" s="21" t="n">
        <f aca="false">J6/I6</f>
        <v>3.21757322175732</v>
      </c>
      <c r="L6" s="6" t="str">
        <f aca="false">IF(K6&gt;3,"Satisfactorio",IF(K6&gt;=2,"Aceptable","Bajo"))</f>
        <v>Satisfactorio</v>
      </c>
    </row>
    <row r="7" customFormat="false" ht="23.85" hidden="false" customHeight="false" outlineLevel="0" collapsed="false">
      <c r="A7" s="6" t="n">
        <v>1</v>
      </c>
      <c r="B7" s="6" t="s">
        <v>40</v>
      </c>
      <c r="C7" s="6" t="s">
        <v>41</v>
      </c>
      <c r="D7" s="6" t="s">
        <v>78</v>
      </c>
      <c r="E7" s="20" t="n">
        <v>0</v>
      </c>
      <c r="F7" s="20" t="n">
        <v>3</v>
      </c>
      <c r="G7" s="20" t="n">
        <v>16</v>
      </c>
      <c r="H7" s="20" t="n">
        <v>20</v>
      </c>
      <c r="I7" s="6" t="n">
        <f aca="false">SUM(E7:H7)</f>
        <v>39</v>
      </c>
      <c r="J7" s="6" t="n">
        <f aca="false">E7+2*F7+3*G7+4*H7</f>
        <v>134</v>
      </c>
      <c r="K7" s="21" t="n">
        <f aca="false">J7/I7</f>
        <v>3.43589743589744</v>
      </c>
      <c r="L7" s="6" t="str">
        <f aca="false">IF(K7&gt;3,"Satisfactorio",IF(K7&gt;=2,"Aceptable","Bajo"))</f>
        <v>Satisfactorio</v>
      </c>
    </row>
    <row r="8" customFormat="false" ht="23.85" hidden="false" customHeight="false" outlineLevel="0" collapsed="false">
      <c r="A8" s="6" t="n">
        <v>1</v>
      </c>
      <c r="B8" s="6" t="s">
        <v>40</v>
      </c>
      <c r="C8" s="6" t="s">
        <v>41</v>
      </c>
      <c r="D8" s="6" t="s">
        <v>79</v>
      </c>
      <c r="E8" s="20" t="n">
        <v>0</v>
      </c>
      <c r="F8" s="20" t="n">
        <v>4</v>
      </c>
      <c r="G8" s="20" t="n">
        <v>19</v>
      </c>
      <c r="H8" s="20" t="n">
        <v>20</v>
      </c>
      <c r="I8" s="6" t="n">
        <f aca="false">SUM(E8:H8)</f>
        <v>43</v>
      </c>
      <c r="J8" s="6" t="n">
        <f aca="false">E8+2*F8+3*G8+4*H8</f>
        <v>145</v>
      </c>
      <c r="K8" s="21" t="n">
        <f aca="false">J8/I8</f>
        <v>3.37209302325581</v>
      </c>
      <c r="L8" s="6" t="str">
        <f aca="false">IF(K8&gt;3,"Satisfactorio",IF(K8&gt;=2,"Aceptable","Bajo"))</f>
        <v>Satisfactorio</v>
      </c>
    </row>
    <row r="9" customFormat="false" ht="23.85" hidden="false" customHeight="false" outlineLevel="0" collapsed="false">
      <c r="A9" s="6" t="n">
        <v>1</v>
      </c>
      <c r="B9" s="6" t="s">
        <v>40</v>
      </c>
      <c r="C9" s="6" t="s">
        <v>41</v>
      </c>
      <c r="D9" s="6" t="s">
        <v>80</v>
      </c>
      <c r="E9" s="20" t="n">
        <v>0</v>
      </c>
      <c r="F9" s="20" t="n">
        <v>1</v>
      </c>
      <c r="G9" s="20" t="n">
        <v>7</v>
      </c>
      <c r="H9" s="20" t="n">
        <v>11</v>
      </c>
      <c r="I9" s="6" t="n">
        <f aca="false">SUM(E9:H9)</f>
        <v>19</v>
      </c>
      <c r="J9" s="6" t="n">
        <f aca="false">E9+2*F9+3*G9+4*H9</f>
        <v>67</v>
      </c>
      <c r="K9" s="21" t="n">
        <f aca="false">J9/I9</f>
        <v>3.52631578947368</v>
      </c>
      <c r="L9" s="6" t="str">
        <f aca="false">IF(K9&gt;3,"Satisfactorio",IF(K9&gt;=2,"Aceptable","Bajo"))</f>
        <v>Satisfactorio</v>
      </c>
    </row>
    <row r="10" customFormat="false" ht="23.85" hidden="false" customHeight="false" outlineLevel="0" collapsed="false">
      <c r="A10" s="6" t="n">
        <v>1</v>
      </c>
      <c r="B10" s="6" t="s">
        <v>40</v>
      </c>
      <c r="C10" s="6" t="s">
        <v>41</v>
      </c>
      <c r="D10" s="6" t="s">
        <v>81</v>
      </c>
      <c r="E10" s="20" t="n">
        <v>0</v>
      </c>
      <c r="F10" s="20" t="n">
        <v>0</v>
      </c>
      <c r="G10" s="20" t="n">
        <v>2</v>
      </c>
      <c r="H10" s="20" t="n">
        <v>3</v>
      </c>
      <c r="I10" s="6" t="n">
        <f aca="false">SUM(E10:H10)</f>
        <v>5</v>
      </c>
      <c r="J10" s="6" t="n">
        <f aca="false">E10+2*F10+3*G10+4*H10</f>
        <v>18</v>
      </c>
      <c r="K10" s="21" t="n">
        <f aca="false">J10/I10</f>
        <v>3.6</v>
      </c>
      <c r="L10" s="6" t="str">
        <f aca="false">IF(K10&gt;3,"Satisfactorio",IF(K10&gt;=2,"Aceptable","Bajo"))</f>
        <v>Satisfactorio</v>
      </c>
    </row>
    <row r="11" customFormat="false" ht="23.85" hidden="false" customHeight="false" outlineLevel="0" collapsed="false">
      <c r="A11" s="6" t="n">
        <v>2</v>
      </c>
      <c r="B11" s="6" t="s">
        <v>40</v>
      </c>
      <c r="C11" s="6" t="s">
        <v>42</v>
      </c>
      <c r="D11" s="6" t="s">
        <v>77</v>
      </c>
      <c r="E11" s="20" t="n">
        <v>3</v>
      </c>
      <c r="F11" s="20" t="n">
        <v>40</v>
      </c>
      <c r="G11" s="20" t="n">
        <v>121</v>
      </c>
      <c r="H11" s="20" t="n">
        <v>75</v>
      </c>
      <c r="I11" s="6" t="n">
        <f aca="false">SUM(E11:H11)</f>
        <v>239</v>
      </c>
      <c r="J11" s="6" t="n">
        <f aca="false">E11+2*F11+3*G11+4*H11</f>
        <v>746</v>
      </c>
      <c r="K11" s="21" t="n">
        <f aca="false">J11/I11</f>
        <v>3.12133891213389</v>
      </c>
      <c r="L11" s="6" t="str">
        <f aca="false">IF(K11&gt;3,"Satisfactorio",IF(K11&gt;=2,"Aceptable","Bajo"))</f>
        <v>Satisfactorio</v>
      </c>
    </row>
    <row r="12" customFormat="false" ht="23.85" hidden="false" customHeight="false" outlineLevel="0" collapsed="false">
      <c r="A12" s="6" t="n">
        <v>2</v>
      </c>
      <c r="B12" s="6" t="s">
        <v>40</v>
      </c>
      <c r="C12" s="6" t="s">
        <v>42</v>
      </c>
      <c r="D12" s="6" t="s">
        <v>78</v>
      </c>
      <c r="E12" s="20" t="n">
        <v>0</v>
      </c>
      <c r="F12" s="20" t="n">
        <v>4</v>
      </c>
      <c r="G12" s="20" t="n">
        <v>18</v>
      </c>
      <c r="H12" s="20" t="n">
        <v>17</v>
      </c>
      <c r="I12" s="6" t="n">
        <f aca="false">SUM(E12:H12)</f>
        <v>39</v>
      </c>
      <c r="J12" s="6" t="n">
        <f aca="false">E12+2*F12+3*G12+4*H12</f>
        <v>130</v>
      </c>
      <c r="K12" s="21" t="n">
        <f aca="false">J12/I12</f>
        <v>3.33333333333333</v>
      </c>
      <c r="L12" s="6" t="str">
        <f aca="false">IF(K12&gt;3,"Satisfactorio",IF(K12&gt;=2,"Aceptable","Bajo"))</f>
        <v>Satisfactorio</v>
      </c>
    </row>
    <row r="13" customFormat="false" ht="23.85" hidden="false" customHeight="false" outlineLevel="0" collapsed="false">
      <c r="A13" s="6" t="n">
        <v>2</v>
      </c>
      <c r="B13" s="6" t="s">
        <v>40</v>
      </c>
      <c r="C13" s="6" t="s">
        <v>42</v>
      </c>
      <c r="D13" s="6" t="s">
        <v>79</v>
      </c>
      <c r="E13" s="20" t="n">
        <v>0</v>
      </c>
      <c r="F13" s="20" t="n">
        <v>5</v>
      </c>
      <c r="G13" s="20" t="n">
        <v>20</v>
      </c>
      <c r="H13" s="20" t="n">
        <v>18</v>
      </c>
      <c r="I13" s="6" t="n">
        <f aca="false">SUM(E13:H13)</f>
        <v>43</v>
      </c>
      <c r="J13" s="6" t="n">
        <f aca="false">E13+2*F13+3*G13+4*H13</f>
        <v>142</v>
      </c>
      <c r="K13" s="21" t="n">
        <f aca="false">J13/I13</f>
        <v>3.30232558139535</v>
      </c>
      <c r="L13" s="6" t="str">
        <f aca="false">IF(K13&gt;3,"Satisfactorio",IF(K13&gt;=2,"Aceptable","Bajo"))</f>
        <v>Satisfactorio</v>
      </c>
    </row>
    <row r="14" customFormat="false" ht="23.85" hidden="false" customHeight="false" outlineLevel="0" collapsed="false">
      <c r="A14" s="6" t="n">
        <v>2</v>
      </c>
      <c r="B14" s="6" t="s">
        <v>40</v>
      </c>
      <c r="C14" s="6" t="s">
        <v>42</v>
      </c>
      <c r="D14" s="6" t="s">
        <v>80</v>
      </c>
      <c r="E14" s="20" t="n">
        <v>0</v>
      </c>
      <c r="F14" s="20" t="n">
        <v>1</v>
      </c>
      <c r="G14" s="20" t="n">
        <v>8</v>
      </c>
      <c r="H14" s="20" t="n">
        <v>10</v>
      </c>
      <c r="I14" s="6" t="n">
        <f aca="false">SUM(E14:H14)</f>
        <v>19</v>
      </c>
      <c r="J14" s="6" t="n">
        <f aca="false">E14+2*F14+3*G14+4*H14</f>
        <v>66</v>
      </c>
      <c r="K14" s="21" t="n">
        <f aca="false">J14/I14</f>
        <v>3.47368421052632</v>
      </c>
      <c r="L14" s="6" t="str">
        <f aca="false">IF(K14&gt;3,"Satisfactorio",IF(K14&gt;=2,"Aceptable","Bajo"))</f>
        <v>Satisfactorio</v>
      </c>
    </row>
    <row r="15" customFormat="false" ht="23.85" hidden="false" customHeight="false" outlineLevel="0" collapsed="false">
      <c r="A15" s="6" t="n">
        <v>2</v>
      </c>
      <c r="B15" s="6" t="s">
        <v>40</v>
      </c>
      <c r="C15" s="6" t="s">
        <v>42</v>
      </c>
      <c r="D15" s="6" t="s">
        <v>81</v>
      </c>
      <c r="E15" s="20" t="n">
        <v>0</v>
      </c>
      <c r="F15" s="20" t="n">
        <v>0</v>
      </c>
      <c r="G15" s="20" t="n">
        <v>2</v>
      </c>
      <c r="H15" s="20" t="n">
        <v>3</v>
      </c>
      <c r="I15" s="6" t="n">
        <f aca="false">SUM(E15:H15)</f>
        <v>5</v>
      </c>
      <c r="J15" s="6" t="n">
        <f aca="false">E15+2*F15+3*G15+4*H15</f>
        <v>18</v>
      </c>
      <c r="K15" s="21" t="n">
        <f aca="false">J15/I15</f>
        <v>3.6</v>
      </c>
      <c r="L15" s="6" t="str">
        <f aca="false">IF(K15&gt;3,"Satisfactorio",IF(K15&gt;=2,"Aceptable","Bajo"))</f>
        <v>Satisfactorio</v>
      </c>
    </row>
    <row r="16" customFormat="false" ht="15" hidden="false" customHeight="false" outlineLevel="0" collapsed="false">
      <c r="A16" s="6" t="n">
        <v>3</v>
      </c>
      <c r="B16" s="6" t="s">
        <v>40</v>
      </c>
      <c r="C16" s="6" t="s">
        <v>43</v>
      </c>
      <c r="D16" s="6" t="s">
        <v>77</v>
      </c>
      <c r="E16" s="20" t="n">
        <v>4</v>
      </c>
      <c r="F16" s="20" t="n">
        <v>49</v>
      </c>
      <c r="G16" s="20" t="n">
        <v>122</v>
      </c>
      <c r="H16" s="20" t="n">
        <v>64</v>
      </c>
      <c r="I16" s="6" t="n">
        <f aca="false">SUM(E16:H16)</f>
        <v>239</v>
      </c>
      <c r="J16" s="6" t="n">
        <f aca="false">E16+2*F16+3*G16+4*H16</f>
        <v>724</v>
      </c>
      <c r="K16" s="21" t="n">
        <f aca="false">J16/I16</f>
        <v>3.02928870292887</v>
      </c>
      <c r="L16" s="6" t="str">
        <f aca="false">IF(K16&gt;3,"Satisfactorio",IF(K16&gt;=2,"Aceptable","Bajo"))</f>
        <v>Satisfactorio</v>
      </c>
    </row>
    <row r="17" customFormat="false" ht="15" hidden="false" customHeight="false" outlineLevel="0" collapsed="false">
      <c r="A17" s="6" t="n">
        <v>3</v>
      </c>
      <c r="B17" s="6" t="s">
        <v>40</v>
      </c>
      <c r="C17" s="6" t="s">
        <v>43</v>
      </c>
      <c r="D17" s="6" t="s">
        <v>78</v>
      </c>
      <c r="E17" s="20" t="n">
        <v>0</v>
      </c>
      <c r="F17" s="20" t="n">
        <v>5</v>
      </c>
      <c r="G17" s="20" t="n">
        <v>19</v>
      </c>
      <c r="H17" s="20" t="n">
        <v>15</v>
      </c>
      <c r="I17" s="6" t="n">
        <f aca="false">SUM(E17:H17)</f>
        <v>39</v>
      </c>
      <c r="J17" s="6" t="n">
        <f aca="false">E17+2*F17+3*G17+4*H17</f>
        <v>127</v>
      </c>
      <c r="K17" s="21" t="n">
        <f aca="false">J17/I17</f>
        <v>3.25641025641026</v>
      </c>
      <c r="L17" s="6" t="str">
        <f aca="false">IF(K17&gt;3,"Satisfactorio",IF(K17&gt;=2,"Aceptable","Bajo"))</f>
        <v>Satisfactorio</v>
      </c>
    </row>
    <row r="18" customFormat="false" ht="15" hidden="false" customHeight="false" outlineLevel="0" collapsed="false">
      <c r="A18" s="6" t="n">
        <v>3</v>
      </c>
      <c r="B18" s="6" t="s">
        <v>40</v>
      </c>
      <c r="C18" s="6" t="s">
        <v>43</v>
      </c>
      <c r="D18" s="6" t="s">
        <v>79</v>
      </c>
      <c r="E18" s="20" t="n">
        <v>1</v>
      </c>
      <c r="F18" s="20" t="n">
        <v>6</v>
      </c>
      <c r="G18" s="20" t="n">
        <v>21</v>
      </c>
      <c r="H18" s="20" t="n">
        <v>15</v>
      </c>
      <c r="I18" s="6" t="n">
        <f aca="false">SUM(E18:H18)</f>
        <v>43</v>
      </c>
      <c r="J18" s="6" t="n">
        <f aca="false">E18+2*F18+3*G18+4*H18</f>
        <v>136</v>
      </c>
      <c r="K18" s="21" t="n">
        <f aca="false">J18/I18</f>
        <v>3.16279069767442</v>
      </c>
      <c r="L18" s="6" t="str">
        <f aca="false">IF(K18&gt;3,"Satisfactorio",IF(K18&gt;=2,"Aceptable","Bajo"))</f>
        <v>Satisfactorio</v>
      </c>
    </row>
    <row r="19" customFormat="false" ht="15" hidden="false" customHeight="false" outlineLevel="0" collapsed="false">
      <c r="A19" s="6" t="n">
        <v>3</v>
      </c>
      <c r="B19" s="6" t="s">
        <v>40</v>
      </c>
      <c r="C19" s="6" t="s">
        <v>43</v>
      </c>
      <c r="D19" s="6" t="s">
        <v>80</v>
      </c>
      <c r="E19" s="20" t="n">
        <v>0</v>
      </c>
      <c r="F19" s="20" t="n">
        <v>2</v>
      </c>
      <c r="G19" s="20" t="n">
        <v>8</v>
      </c>
      <c r="H19" s="20" t="n">
        <v>9</v>
      </c>
      <c r="I19" s="6" t="n">
        <f aca="false">SUM(E19:H19)</f>
        <v>19</v>
      </c>
      <c r="J19" s="6" t="n">
        <f aca="false">E19+2*F19+3*G19+4*H19</f>
        <v>64</v>
      </c>
      <c r="K19" s="21" t="n">
        <f aca="false">J19/I19</f>
        <v>3.36842105263158</v>
      </c>
      <c r="L19" s="6" t="str">
        <f aca="false">IF(K19&gt;3,"Satisfactorio",IF(K19&gt;=2,"Aceptable","Bajo"))</f>
        <v>Satisfactorio</v>
      </c>
    </row>
    <row r="20" customFormat="false" ht="15" hidden="false" customHeight="false" outlineLevel="0" collapsed="false">
      <c r="A20" s="6" t="n">
        <v>3</v>
      </c>
      <c r="B20" s="6" t="s">
        <v>40</v>
      </c>
      <c r="C20" s="6" t="s">
        <v>43</v>
      </c>
      <c r="D20" s="6" t="s">
        <v>81</v>
      </c>
      <c r="E20" s="20" t="n">
        <v>0</v>
      </c>
      <c r="F20" s="20" t="n">
        <v>1</v>
      </c>
      <c r="G20" s="20" t="n">
        <v>2</v>
      </c>
      <c r="H20" s="20" t="n">
        <v>2</v>
      </c>
      <c r="I20" s="6" t="n">
        <f aca="false">SUM(E20:H20)</f>
        <v>5</v>
      </c>
      <c r="J20" s="6" t="n">
        <f aca="false">E20+2*F20+3*G20+4*H20</f>
        <v>16</v>
      </c>
      <c r="K20" s="21" t="n">
        <f aca="false">J20/I20</f>
        <v>3.2</v>
      </c>
      <c r="L20" s="6" t="str">
        <f aca="false">IF(K20&gt;3,"Satisfactorio",IF(K20&gt;=2,"Aceptable","Bajo"))</f>
        <v>Satisfactorio</v>
      </c>
    </row>
    <row r="21" customFormat="false" ht="23.85" hidden="false" customHeight="false" outlineLevel="0" collapsed="false">
      <c r="A21" s="6" t="n">
        <v>4</v>
      </c>
      <c r="B21" s="6" t="s">
        <v>44</v>
      </c>
      <c r="C21" s="6" t="s">
        <v>45</v>
      </c>
      <c r="D21" s="6" t="s">
        <v>77</v>
      </c>
      <c r="E21" s="20" t="n">
        <v>4</v>
      </c>
      <c r="F21" s="20" t="n">
        <v>46</v>
      </c>
      <c r="G21" s="20" t="n">
        <v>122</v>
      </c>
      <c r="H21" s="20" t="n">
        <v>67</v>
      </c>
      <c r="I21" s="6" t="n">
        <f aca="false">SUM(E21:H21)</f>
        <v>239</v>
      </c>
      <c r="J21" s="6" t="n">
        <f aca="false">E21+2*F21+3*G21+4*H21</f>
        <v>730</v>
      </c>
      <c r="K21" s="21" t="n">
        <f aca="false">J21/I21</f>
        <v>3.05439330543933</v>
      </c>
      <c r="L21" s="6" t="str">
        <f aca="false">IF(K21&gt;3,"Satisfactorio",IF(K21&gt;=2,"Aceptable","Bajo"))</f>
        <v>Satisfactorio</v>
      </c>
    </row>
    <row r="22" customFormat="false" ht="23.85" hidden="false" customHeight="false" outlineLevel="0" collapsed="false">
      <c r="A22" s="6" t="n">
        <v>4</v>
      </c>
      <c r="B22" s="6" t="s">
        <v>44</v>
      </c>
      <c r="C22" s="6" t="s">
        <v>45</v>
      </c>
      <c r="D22" s="6" t="s">
        <v>78</v>
      </c>
      <c r="E22" s="20" t="n">
        <v>1</v>
      </c>
      <c r="F22" s="20" t="n">
        <v>12</v>
      </c>
      <c r="G22" s="20" t="n">
        <v>19</v>
      </c>
      <c r="H22" s="20" t="n">
        <v>7</v>
      </c>
      <c r="I22" s="6" t="n">
        <f aca="false">SUM(E22:H22)</f>
        <v>39</v>
      </c>
      <c r="J22" s="6" t="n">
        <f aca="false">E22+2*F22+3*G22+4*H22</f>
        <v>110</v>
      </c>
      <c r="K22" s="21" t="n">
        <f aca="false">J22/I22</f>
        <v>2.82051282051282</v>
      </c>
      <c r="L22" s="6" t="str">
        <f aca="false">IF(K22&gt;3,"Satisfactorio",IF(K22&gt;=2,"Aceptable","Bajo"))</f>
        <v>Aceptable</v>
      </c>
    </row>
    <row r="23" customFormat="false" ht="23.85" hidden="false" customHeight="false" outlineLevel="0" collapsed="false">
      <c r="A23" s="6" t="n">
        <v>4</v>
      </c>
      <c r="B23" s="6" t="s">
        <v>44</v>
      </c>
      <c r="C23" s="6" t="s">
        <v>45</v>
      </c>
      <c r="D23" s="6" t="s">
        <v>79</v>
      </c>
      <c r="E23" s="20" t="n">
        <v>1</v>
      </c>
      <c r="F23" s="20" t="n">
        <v>11</v>
      </c>
      <c r="G23" s="20" t="n">
        <v>22</v>
      </c>
      <c r="H23" s="20" t="n">
        <v>9</v>
      </c>
      <c r="I23" s="6" t="n">
        <f aca="false">SUM(E23:H23)</f>
        <v>43</v>
      </c>
      <c r="J23" s="6" t="n">
        <f aca="false">E23+2*F23+3*G23+4*H23</f>
        <v>125</v>
      </c>
      <c r="K23" s="21" t="n">
        <f aca="false">J23/I23</f>
        <v>2.90697674418605</v>
      </c>
      <c r="L23" s="6" t="str">
        <f aca="false">IF(K23&gt;3,"Satisfactorio",IF(K23&gt;=2,"Aceptable","Bajo"))</f>
        <v>Aceptable</v>
      </c>
    </row>
    <row r="24" customFormat="false" ht="23.85" hidden="false" customHeight="false" outlineLevel="0" collapsed="false">
      <c r="A24" s="6" t="n">
        <v>4</v>
      </c>
      <c r="B24" s="6" t="s">
        <v>44</v>
      </c>
      <c r="C24" s="6" t="s">
        <v>45</v>
      </c>
      <c r="D24" s="6" t="s">
        <v>80</v>
      </c>
      <c r="E24" s="20" t="n">
        <v>0</v>
      </c>
      <c r="F24" s="20" t="n">
        <v>1</v>
      </c>
      <c r="G24" s="20" t="n">
        <v>8</v>
      </c>
      <c r="H24" s="20" t="n">
        <v>10</v>
      </c>
      <c r="I24" s="6" t="n">
        <f aca="false">SUM(E24:H24)</f>
        <v>19</v>
      </c>
      <c r="J24" s="6" t="n">
        <f aca="false">E24+2*F24+3*G24+4*H24</f>
        <v>66</v>
      </c>
      <c r="K24" s="21" t="n">
        <f aca="false">J24/I24</f>
        <v>3.47368421052632</v>
      </c>
      <c r="L24" s="6" t="str">
        <f aca="false">IF(K24&gt;3,"Satisfactorio",IF(K24&gt;=2,"Aceptable","Bajo"))</f>
        <v>Satisfactorio</v>
      </c>
    </row>
    <row r="25" customFormat="false" ht="23.85" hidden="false" customHeight="false" outlineLevel="0" collapsed="false">
      <c r="A25" s="6" t="n">
        <v>4</v>
      </c>
      <c r="B25" s="6" t="s">
        <v>44</v>
      </c>
      <c r="C25" s="6" t="s">
        <v>45</v>
      </c>
      <c r="D25" s="6" t="s">
        <v>81</v>
      </c>
      <c r="E25" s="20" t="n">
        <v>0</v>
      </c>
      <c r="F25" s="20" t="n">
        <v>1</v>
      </c>
      <c r="G25" s="20" t="n">
        <v>2</v>
      </c>
      <c r="H25" s="20" t="n">
        <v>2</v>
      </c>
      <c r="I25" s="6" t="n">
        <f aca="false">SUM(E25:H25)</f>
        <v>5</v>
      </c>
      <c r="J25" s="6" t="n">
        <f aca="false">E25+2*F25+3*G25+4*H25</f>
        <v>16</v>
      </c>
      <c r="K25" s="21" t="n">
        <f aca="false">J25/I25</f>
        <v>3.2</v>
      </c>
      <c r="L25" s="6" t="str">
        <f aca="false">IF(K25&gt;3,"Satisfactorio",IF(K25&gt;=2,"Aceptable","Bajo"))</f>
        <v>Satisfactorio</v>
      </c>
    </row>
    <row r="26" customFormat="false" ht="15" hidden="false" customHeight="false" outlineLevel="0" collapsed="false">
      <c r="A26" s="6" t="n">
        <v>5</v>
      </c>
      <c r="B26" s="6" t="s">
        <v>44</v>
      </c>
      <c r="C26" s="6" t="s">
        <v>46</v>
      </c>
      <c r="D26" s="6" t="s">
        <v>77</v>
      </c>
      <c r="E26" s="20" t="n">
        <v>5</v>
      </c>
      <c r="F26" s="20" t="n">
        <v>56</v>
      </c>
      <c r="G26" s="20" t="n">
        <v>122</v>
      </c>
      <c r="H26" s="20" t="n">
        <v>56</v>
      </c>
      <c r="I26" s="6" t="n">
        <f aca="false">SUM(E26:H26)</f>
        <v>239</v>
      </c>
      <c r="J26" s="6" t="n">
        <f aca="false">E26+2*F26+3*G26+4*H26</f>
        <v>707</v>
      </c>
      <c r="K26" s="21" t="n">
        <f aca="false">J26/I26</f>
        <v>2.9581589958159</v>
      </c>
      <c r="L26" s="6" t="str">
        <f aca="false">IF(K26&gt;3,"Satisfactorio",IF(K26&gt;=2,"Aceptable","Bajo"))</f>
        <v>Aceptable</v>
      </c>
    </row>
    <row r="27" customFormat="false" ht="15" hidden="false" customHeight="false" outlineLevel="0" collapsed="false">
      <c r="A27" s="6" t="n">
        <v>5</v>
      </c>
      <c r="B27" s="6" t="s">
        <v>44</v>
      </c>
      <c r="C27" s="6" t="s">
        <v>46</v>
      </c>
      <c r="D27" s="6" t="s">
        <v>78</v>
      </c>
      <c r="E27" s="20" t="n">
        <v>2</v>
      </c>
      <c r="F27" s="20" t="n">
        <v>14</v>
      </c>
      <c r="G27" s="20" t="n">
        <v>18</v>
      </c>
      <c r="H27" s="20" t="n">
        <v>5</v>
      </c>
      <c r="I27" s="6" t="n">
        <f aca="false">SUM(E27:H27)</f>
        <v>39</v>
      </c>
      <c r="J27" s="6" t="n">
        <f aca="false">E27+2*F27+3*G27+4*H27</f>
        <v>104</v>
      </c>
      <c r="K27" s="21" t="n">
        <f aca="false">J27/I27</f>
        <v>2.66666666666667</v>
      </c>
      <c r="L27" s="6" t="str">
        <f aca="false">IF(K27&gt;3,"Satisfactorio",IF(K27&gt;=2,"Aceptable","Bajo"))</f>
        <v>Aceptable</v>
      </c>
    </row>
    <row r="28" customFormat="false" ht="15" hidden="false" customHeight="false" outlineLevel="0" collapsed="false">
      <c r="A28" s="6" t="n">
        <v>5</v>
      </c>
      <c r="B28" s="6" t="s">
        <v>44</v>
      </c>
      <c r="C28" s="6" t="s">
        <v>46</v>
      </c>
      <c r="D28" s="6" t="s">
        <v>79</v>
      </c>
      <c r="E28" s="20" t="n">
        <v>2</v>
      </c>
      <c r="F28" s="20" t="n">
        <v>13</v>
      </c>
      <c r="G28" s="20" t="n">
        <v>21</v>
      </c>
      <c r="H28" s="20" t="n">
        <v>7</v>
      </c>
      <c r="I28" s="6" t="n">
        <f aca="false">SUM(E28:H28)</f>
        <v>43</v>
      </c>
      <c r="J28" s="6" t="n">
        <f aca="false">E28+2*F28+3*G28+4*H28</f>
        <v>119</v>
      </c>
      <c r="K28" s="21" t="n">
        <f aca="false">J28/I28</f>
        <v>2.76744186046512</v>
      </c>
      <c r="L28" s="6" t="str">
        <f aca="false">IF(K28&gt;3,"Satisfactorio",IF(K28&gt;=2,"Aceptable","Bajo"))</f>
        <v>Aceptable</v>
      </c>
    </row>
    <row r="29" customFormat="false" ht="15" hidden="false" customHeight="false" outlineLevel="0" collapsed="false">
      <c r="A29" s="6" t="n">
        <v>5</v>
      </c>
      <c r="B29" s="6" t="s">
        <v>44</v>
      </c>
      <c r="C29" s="6" t="s">
        <v>46</v>
      </c>
      <c r="D29" s="6" t="s">
        <v>80</v>
      </c>
      <c r="E29" s="20" t="n">
        <v>0</v>
      </c>
      <c r="F29" s="20" t="n">
        <v>2</v>
      </c>
      <c r="G29" s="20" t="n">
        <v>9</v>
      </c>
      <c r="H29" s="20" t="n">
        <v>8</v>
      </c>
      <c r="I29" s="6" t="n">
        <f aca="false">SUM(E29:H29)</f>
        <v>19</v>
      </c>
      <c r="J29" s="6" t="n">
        <f aca="false">E29+2*F29+3*G29+4*H29</f>
        <v>63</v>
      </c>
      <c r="K29" s="21" t="n">
        <f aca="false">J29/I29</f>
        <v>3.31578947368421</v>
      </c>
      <c r="L29" s="6" t="str">
        <f aca="false">IF(K29&gt;3,"Satisfactorio",IF(K29&gt;=2,"Aceptable","Bajo"))</f>
        <v>Satisfactorio</v>
      </c>
    </row>
    <row r="30" customFormat="false" ht="15" hidden="false" customHeight="false" outlineLevel="0" collapsed="false">
      <c r="A30" s="6" t="n">
        <v>5</v>
      </c>
      <c r="B30" s="6" t="s">
        <v>44</v>
      </c>
      <c r="C30" s="6" t="s">
        <v>46</v>
      </c>
      <c r="D30" s="6" t="s">
        <v>81</v>
      </c>
      <c r="E30" s="20" t="n">
        <v>0</v>
      </c>
      <c r="F30" s="20" t="n">
        <v>1</v>
      </c>
      <c r="G30" s="20" t="n">
        <v>2</v>
      </c>
      <c r="H30" s="20" t="n">
        <v>2</v>
      </c>
      <c r="I30" s="6" t="n">
        <f aca="false">SUM(E30:H30)</f>
        <v>5</v>
      </c>
      <c r="J30" s="6" t="n">
        <f aca="false">E30+2*F30+3*G30+4*H30</f>
        <v>16</v>
      </c>
      <c r="K30" s="21" t="n">
        <f aca="false">J30/I30</f>
        <v>3.2</v>
      </c>
      <c r="L30" s="6" t="str">
        <f aca="false">IF(K30&gt;3,"Satisfactorio",IF(K30&gt;=2,"Aceptable","Bajo"))</f>
        <v>Satisfactorio</v>
      </c>
    </row>
    <row r="31" customFormat="false" ht="23.85" hidden="false" customHeight="false" outlineLevel="0" collapsed="false">
      <c r="A31" s="6" t="n">
        <v>6</v>
      </c>
      <c r="B31" s="6" t="s">
        <v>44</v>
      </c>
      <c r="C31" s="6" t="s">
        <v>47</v>
      </c>
      <c r="D31" s="6" t="s">
        <v>77</v>
      </c>
      <c r="E31" s="20" t="n">
        <v>8</v>
      </c>
      <c r="F31" s="20" t="n">
        <v>66</v>
      </c>
      <c r="G31" s="20" t="n">
        <v>120</v>
      </c>
      <c r="H31" s="20" t="n">
        <v>45</v>
      </c>
      <c r="I31" s="6" t="n">
        <f aca="false">SUM(E31:H31)</f>
        <v>239</v>
      </c>
      <c r="J31" s="6" t="n">
        <f aca="false">E31+2*F31+3*G31+4*H31</f>
        <v>680</v>
      </c>
      <c r="K31" s="21" t="n">
        <f aca="false">J31/I31</f>
        <v>2.84518828451883</v>
      </c>
      <c r="L31" s="6" t="str">
        <f aca="false">IF(K31&gt;3,"Satisfactorio",IF(K31&gt;=2,"Aceptable","Bajo"))</f>
        <v>Aceptable</v>
      </c>
    </row>
    <row r="32" customFormat="false" ht="23.85" hidden="false" customHeight="false" outlineLevel="0" collapsed="false">
      <c r="A32" s="6" t="n">
        <v>6</v>
      </c>
      <c r="B32" s="6" t="s">
        <v>44</v>
      </c>
      <c r="C32" s="6" t="s">
        <v>47</v>
      </c>
      <c r="D32" s="6" t="s">
        <v>78</v>
      </c>
      <c r="E32" s="20" t="n">
        <v>3</v>
      </c>
      <c r="F32" s="20" t="n">
        <v>15</v>
      </c>
      <c r="G32" s="20" t="n">
        <v>17</v>
      </c>
      <c r="H32" s="20" t="n">
        <v>4</v>
      </c>
      <c r="I32" s="6" t="n">
        <f aca="false">SUM(E32:H32)</f>
        <v>39</v>
      </c>
      <c r="J32" s="6" t="n">
        <f aca="false">E32+2*F32+3*G32+4*H32</f>
        <v>100</v>
      </c>
      <c r="K32" s="21" t="n">
        <f aca="false">J32/I32</f>
        <v>2.56410256410256</v>
      </c>
      <c r="L32" s="6" t="str">
        <f aca="false">IF(K32&gt;3,"Satisfactorio",IF(K32&gt;=2,"Aceptable","Bajo"))</f>
        <v>Aceptable</v>
      </c>
    </row>
    <row r="33" customFormat="false" ht="23.85" hidden="false" customHeight="false" outlineLevel="0" collapsed="false">
      <c r="A33" s="6" t="n">
        <v>6</v>
      </c>
      <c r="B33" s="6" t="s">
        <v>44</v>
      </c>
      <c r="C33" s="6" t="s">
        <v>47</v>
      </c>
      <c r="D33" s="6" t="s">
        <v>79</v>
      </c>
      <c r="E33" s="20" t="n">
        <v>2</v>
      </c>
      <c r="F33" s="20" t="n">
        <v>15</v>
      </c>
      <c r="G33" s="20" t="n">
        <v>20</v>
      </c>
      <c r="H33" s="20" t="n">
        <v>6</v>
      </c>
      <c r="I33" s="6" t="n">
        <f aca="false">SUM(E33:H33)</f>
        <v>43</v>
      </c>
      <c r="J33" s="6" t="n">
        <f aca="false">E33+2*F33+3*G33+4*H33</f>
        <v>116</v>
      </c>
      <c r="K33" s="21" t="n">
        <f aca="false">J33/I33</f>
        <v>2.69767441860465</v>
      </c>
      <c r="L33" s="6" t="str">
        <f aca="false">IF(K33&gt;3,"Satisfactorio",IF(K33&gt;=2,"Aceptable","Bajo"))</f>
        <v>Aceptable</v>
      </c>
    </row>
    <row r="34" customFormat="false" ht="23.85" hidden="false" customHeight="false" outlineLevel="0" collapsed="false">
      <c r="A34" s="6" t="n">
        <v>6</v>
      </c>
      <c r="B34" s="6" t="s">
        <v>44</v>
      </c>
      <c r="C34" s="6" t="s">
        <v>47</v>
      </c>
      <c r="D34" s="6" t="s">
        <v>80</v>
      </c>
      <c r="E34" s="20" t="n">
        <v>0</v>
      </c>
      <c r="F34" s="20" t="n">
        <v>2</v>
      </c>
      <c r="G34" s="20" t="n">
        <v>9</v>
      </c>
      <c r="H34" s="20" t="n">
        <v>8</v>
      </c>
      <c r="I34" s="6" t="n">
        <f aca="false">SUM(E34:H34)</f>
        <v>19</v>
      </c>
      <c r="J34" s="6" t="n">
        <f aca="false">E34+2*F34+3*G34+4*H34</f>
        <v>63</v>
      </c>
      <c r="K34" s="21" t="n">
        <f aca="false">J34/I34</f>
        <v>3.31578947368421</v>
      </c>
      <c r="L34" s="6" t="str">
        <f aca="false">IF(K34&gt;3,"Satisfactorio",IF(K34&gt;=2,"Aceptable","Bajo"))</f>
        <v>Satisfactorio</v>
      </c>
    </row>
    <row r="35" customFormat="false" ht="23.85" hidden="false" customHeight="false" outlineLevel="0" collapsed="false">
      <c r="A35" s="6" t="n">
        <v>6</v>
      </c>
      <c r="B35" s="6" t="s">
        <v>44</v>
      </c>
      <c r="C35" s="6" t="s">
        <v>47</v>
      </c>
      <c r="D35" s="6" t="s">
        <v>81</v>
      </c>
      <c r="E35" s="20" t="n">
        <v>0</v>
      </c>
      <c r="F35" s="20" t="n">
        <v>1</v>
      </c>
      <c r="G35" s="20" t="n">
        <v>2</v>
      </c>
      <c r="H35" s="20" t="n">
        <v>2</v>
      </c>
      <c r="I35" s="6" t="n">
        <f aca="false">SUM(E35:H35)</f>
        <v>5</v>
      </c>
      <c r="J35" s="6" t="n">
        <f aca="false">E35+2*F35+3*G35+4*H35</f>
        <v>16</v>
      </c>
      <c r="K35" s="21" t="n">
        <f aca="false">J35/I35</f>
        <v>3.2</v>
      </c>
      <c r="L35" s="6" t="str">
        <f aca="false">IF(K35&gt;3,"Satisfactorio",IF(K35&gt;=2,"Aceptable","Bajo"))</f>
        <v>Satisfactorio</v>
      </c>
    </row>
    <row r="36" customFormat="false" ht="23.85" hidden="false" customHeight="false" outlineLevel="0" collapsed="false">
      <c r="A36" s="6" t="n">
        <v>7</v>
      </c>
      <c r="B36" s="6" t="s">
        <v>48</v>
      </c>
      <c r="C36" s="6" t="s">
        <v>49</v>
      </c>
      <c r="D36" s="6" t="s">
        <v>77</v>
      </c>
      <c r="E36" s="20" t="n">
        <v>20</v>
      </c>
      <c r="F36" s="20" t="n">
        <v>97</v>
      </c>
      <c r="G36" s="20" t="n">
        <v>100</v>
      </c>
      <c r="H36" s="20" t="n">
        <v>22</v>
      </c>
      <c r="I36" s="6" t="n">
        <f aca="false">SUM(E36:H36)</f>
        <v>239</v>
      </c>
      <c r="J36" s="6" t="n">
        <f aca="false">E36+2*F36+3*G36+4*H36</f>
        <v>602</v>
      </c>
      <c r="K36" s="21" t="n">
        <f aca="false">J36/I36</f>
        <v>2.51882845188285</v>
      </c>
      <c r="L36" s="6" t="str">
        <f aca="false">IF(K36&gt;3,"Satisfactorio",IF(K36&gt;=2,"Aceptable","Bajo"))</f>
        <v>Aceptable</v>
      </c>
    </row>
    <row r="37" customFormat="false" ht="23.85" hidden="false" customHeight="false" outlineLevel="0" collapsed="false">
      <c r="A37" s="6" t="n">
        <v>7</v>
      </c>
      <c r="B37" s="6" t="s">
        <v>48</v>
      </c>
      <c r="C37" s="6" t="s">
        <v>49</v>
      </c>
      <c r="D37" s="6" t="s">
        <v>78</v>
      </c>
      <c r="E37" s="20" t="n">
        <v>2</v>
      </c>
      <c r="F37" s="20" t="n">
        <v>13</v>
      </c>
      <c r="G37" s="20" t="n">
        <v>19</v>
      </c>
      <c r="H37" s="20" t="n">
        <v>5</v>
      </c>
      <c r="I37" s="6" t="n">
        <f aca="false">SUM(E37:H37)</f>
        <v>39</v>
      </c>
      <c r="J37" s="6" t="n">
        <f aca="false">E37+2*F37+3*G37+4*H37</f>
        <v>105</v>
      </c>
      <c r="K37" s="21" t="n">
        <f aca="false">J37/I37</f>
        <v>2.69230769230769</v>
      </c>
      <c r="L37" s="6" t="str">
        <f aca="false">IF(K37&gt;3,"Satisfactorio",IF(K37&gt;=2,"Aceptable","Bajo"))</f>
        <v>Aceptable</v>
      </c>
    </row>
    <row r="38" customFormat="false" ht="23.85" hidden="false" customHeight="false" outlineLevel="0" collapsed="false">
      <c r="A38" s="6" t="n">
        <v>7</v>
      </c>
      <c r="B38" s="6" t="s">
        <v>48</v>
      </c>
      <c r="C38" s="6" t="s">
        <v>49</v>
      </c>
      <c r="D38" s="6" t="s">
        <v>79</v>
      </c>
      <c r="E38" s="20" t="n">
        <v>3</v>
      </c>
      <c r="F38" s="20" t="n">
        <v>16</v>
      </c>
      <c r="G38" s="20" t="n">
        <v>19</v>
      </c>
      <c r="H38" s="20" t="n">
        <v>5</v>
      </c>
      <c r="I38" s="6" t="n">
        <f aca="false">SUM(E38:H38)</f>
        <v>43</v>
      </c>
      <c r="J38" s="6" t="n">
        <f aca="false">E38+2*F38+3*G38+4*H38</f>
        <v>112</v>
      </c>
      <c r="K38" s="21" t="n">
        <f aca="false">J38/I38</f>
        <v>2.6046511627907</v>
      </c>
      <c r="L38" s="6" t="str">
        <f aca="false">IF(K38&gt;3,"Satisfactorio",IF(K38&gt;=2,"Aceptable","Bajo"))</f>
        <v>Aceptable</v>
      </c>
    </row>
    <row r="39" customFormat="false" ht="23.85" hidden="false" customHeight="false" outlineLevel="0" collapsed="false">
      <c r="A39" s="6" t="n">
        <v>7</v>
      </c>
      <c r="B39" s="6" t="s">
        <v>48</v>
      </c>
      <c r="C39" s="6" t="s">
        <v>49</v>
      </c>
      <c r="D39" s="6" t="s">
        <v>80</v>
      </c>
      <c r="E39" s="20" t="n">
        <v>0</v>
      </c>
      <c r="F39" s="20" t="n">
        <v>4</v>
      </c>
      <c r="G39" s="20" t="n">
        <v>10</v>
      </c>
      <c r="H39" s="20" t="n">
        <v>5</v>
      </c>
      <c r="I39" s="6" t="n">
        <f aca="false">SUM(E39:H39)</f>
        <v>19</v>
      </c>
      <c r="J39" s="6" t="n">
        <f aca="false">E39+2*F39+3*G39+4*H39</f>
        <v>58</v>
      </c>
      <c r="K39" s="21" t="n">
        <f aca="false">J39/I39</f>
        <v>3.05263157894737</v>
      </c>
      <c r="L39" s="6" t="str">
        <f aca="false">IF(K39&gt;3,"Satisfactorio",IF(K39&gt;=2,"Aceptable","Bajo"))</f>
        <v>Satisfactorio</v>
      </c>
    </row>
    <row r="40" customFormat="false" ht="23.85" hidden="false" customHeight="false" outlineLevel="0" collapsed="false">
      <c r="A40" s="6" t="n">
        <v>7</v>
      </c>
      <c r="B40" s="6" t="s">
        <v>48</v>
      </c>
      <c r="C40" s="6" t="s">
        <v>49</v>
      </c>
      <c r="D40" s="6" t="s">
        <v>81</v>
      </c>
      <c r="E40" s="20" t="n">
        <v>0</v>
      </c>
      <c r="F40" s="20" t="n">
        <v>1</v>
      </c>
      <c r="G40" s="20" t="n">
        <v>2</v>
      </c>
      <c r="H40" s="20" t="n">
        <v>2</v>
      </c>
      <c r="I40" s="6" t="n">
        <f aca="false">SUM(E40:H40)</f>
        <v>5</v>
      </c>
      <c r="J40" s="6" t="n">
        <f aca="false">E40+2*F40+3*G40+4*H40</f>
        <v>16</v>
      </c>
      <c r="K40" s="21" t="n">
        <f aca="false">J40/I40</f>
        <v>3.2</v>
      </c>
      <c r="L40" s="6" t="str">
        <f aca="false">IF(K40&gt;3,"Satisfactorio",IF(K40&gt;=2,"Aceptable","Bajo"))</f>
        <v>Satisfactorio</v>
      </c>
    </row>
    <row r="41" customFormat="false" ht="15" hidden="false" customHeight="false" outlineLevel="0" collapsed="false">
      <c r="A41" s="6" t="n">
        <v>8</v>
      </c>
      <c r="B41" s="6" t="s">
        <v>48</v>
      </c>
      <c r="C41" s="6" t="s">
        <v>50</v>
      </c>
      <c r="D41" s="6" t="s">
        <v>77</v>
      </c>
      <c r="E41" s="20" t="n">
        <v>26</v>
      </c>
      <c r="F41" s="20" t="n">
        <v>106</v>
      </c>
      <c r="G41" s="20" t="n">
        <v>91</v>
      </c>
      <c r="H41" s="20" t="n">
        <v>16</v>
      </c>
      <c r="I41" s="6" t="n">
        <f aca="false">SUM(E41:H41)</f>
        <v>239</v>
      </c>
      <c r="J41" s="6" t="n">
        <f aca="false">E41+2*F41+3*G41+4*H41</f>
        <v>575</v>
      </c>
      <c r="K41" s="21" t="n">
        <f aca="false">J41/I41</f>
        <v>2.40585774058577</v>
      </c>
      <c r="L41" s="6" t="str">
        <f aca="false">IF(K41&gt;3,"Satisfactorio",IF(K41&gt;=2,"Aceptable","Bajo"))</f>
        <v>Aceptable</v>
      </c>
    </row>
    <row r="42" customFormat="false" ht="15" hidden="false" customHeight="false" outlineLevel="0" collapsed="false">
      <c r="A42" s="6" t="n">
        <v>8</v>
      </c>
      <c r="B42" s="6" t="s">
        <v>48</v>
      </c>
      <c r="C42" s="6" t="s">
        <v>50</v>
      </c>
      <c r="D42" s="6" t="s">
        <v>78</v>
      </c>
      <c r="E42" s="20" t="n">
        <v>3</v>
      </c>
      <c r="F42" s="20" t="n">
        <v>15</v>
      </c>
      <c r="G42" s="20" t="n">
        <v>17</v>
      </c>
      <c r="H42" s="20" t="n">
        <v>4</v>
      </c>
      <c r="I42" s="6" t="n">
        <f aca="false">SUM(E42:H42)</f>
        <v>39</v>
      </c>
      <c r="J42" s="6" t="n">
        <f aca="false">E42+2*F42+3*G42+4*H42</f>
        <v>100</v>
      </c>
      <c r="K42" s="21" t="n">
        <f aca="false">J42/I42</f>
        <v>2.56410256410256</v>
      </c>
      <c r="L42" s="6" t="str">
        <f aca="false">IF(K42&gt;3,"Satisfactorio",IF(K42&gt;=2,"Aceptable","Bajo"))</f>
        <v>Aceptable</v>
      </c>
    </row>
    <row r="43" customFormat="false" ht="15" hidden="false" customHeight="false" outlineLevel="0" collapsed="false">
      <c r="A43" s="6" t="n">
        <v>8</v>
      </c>
      <c r="B43" s="6" t="s">
        <v>48</v>
      </c>
      <c r="C43" s="6" t="s">
        <v>50</v>
      </c>
      <c r="D43" s="6" t="s">
        <v>79</v>
      </c>
      <c r="E43" s="20" t="n">
        <v>4</v>
      </c>
      <c r="F43" s="20" t="n">
        <v>18</v>
      </c>
      <c r="G43" s="20" t="n">
        <v>18</v>
      </c>
      <c r="H43" s="20" t="n">
        <v>3</v>
      </c>
      <c r="I43" s="6" t="n">
        <f aca="false">SUM(E43:H43)</f>
        <v>43</v>
      </c>
      <c r="J43" s="6" t="n">
        <f aca="false">E43+2*F43+3*G43+4*H43</f>
        <v>106</v>
      </c>
      <c r="K43" s="21" t="n">
        <f aca="false">J43/I43</f>
        <v>2.46511627906977</v>
      </c>
      <c r="L43" s="6" t="str">
        <f aca="false">IF(K43&gt;3,"Satisfactorio",IF(K43&gt;=2,"Aceptable","Bajo"))</f>
        <v>Aceptable</v>
      </c>
    </row>
    <row r="44" customFormat="false" ht="15" hidden="false" customHeight="false" outlineLevel="0" collapsed="false">
      <c r="A44" s="6" t="n">
        <v>8</v>
      </c>
      <c r="B44" s="6" t="s">
        <v>48</v>
      </c>
      <c r="C44" s="6" t="s">
        <v>50</v>
      </c>
      <c r="D44" s="6" t="s">
        <v>80</v>
      </c>
      <c r="E44" s="20" t="n">
        <v>1</v>
      </c>
      <c r="F44" s="20" t="n">
        <v>5</v>
      </c>
      <c r="G44" s="20" t="n">
        <v>9</v>
      </c>
      <c r="H44" s="20" t="n">
        <v>4</v>
      </c>
      <c r="I44" s="6" t="n">
        <f aca="false">SUM(E44:H44)</f>
        <v>19</v>
      </c>
      <c r="J44" s="6" t="n">
        <f aca="false">E44+2*F44+3*G44+4*H44</f>
        <v>54</v>
      </c>
      <c r="K44" s="21" t="n">
        <f aca="false">J44/I44</f>
        <v>2.84210526315789</v>
      </c>
      <c r="L44" s="6" t="str">
        <f aca="false">IF(K44&gt;3,"Satisfactorio",IF(K44&gt;=2,"Aceptable","Bajo"))</f>
        <v>Aceptable</v>
      </c>
    </row>
    <row r="45" customFormat="false" ht="15" hidden="false" customHeight="false" outlineLevel="0" collapsed="false">
      <c r="A45" s="6" t="n">
        <v>8</v>
      </c>
      <c r="B45" s="6" t="s">
        <v>48</v>
      </c>
      <c r="C45" s="6" t="s">
        <v>50</v>
      </c>
      <c r="D45" s="6" t="s">
        <v>81</v>
      </c>
      <c r="E45" s="20" t="n">
        <v>0</v>
      </c>
      <c r="F45" s="20" t="n">
        <v>1</v>
      </c>
      <c r="G45" s="20" t="n">
        <v>2</v>
      </c>
      <c r="H45" s="20" t="n">
        <v>2</v>
      </c>
      <c r="I45" s="6" t="n">
        <f aca="false">SUM(E45:H45)</f>
        <v>5</v>
      </c>
      <c r="J45" s="6" t="n">
        <f aca="false">E45+2*F45+3*G45+4*H45</f>
        <v>16</v>
      </c>
      <c r="K45" s="21" t="n">
        <f aca="false">J45/I45</f>
        <v>3.2</v>
      </c>
      <c r="L45" s="6" t="str">
        <f aca="false">IF(K45&gt;3,"Satisfactorio",IF(K45&gt;=2,"Aceptable","Bajo"))</f>
        <v>Satisfactorio</v>
      </c>
    </row>
    <row r="46" customFormat="false" ht="15" hidden="false" customHeight="false" outlineLevel="0" collapsed="false">
      <c r="A46" s="6" t="n">
        <v>9</v>
      </c>
      <c r="B46" s="6" t="s">
        <v>48</v>
      </c>
      <c r="C46" s="6" t="s">
        <v>51</v>
      </c>
      <c r="D46" s="6" t="s">
        <v>77</v>
      </c>
      <c r="E46" s="20" t="n">
        <v>34</v>
      </c>
      <c r="F46" s="20" t="n">
        <v>113</v>
      </c>
      <c r="G46" s="20" t="n">
        <v>80</v>
      </c>
      <c r="H46" s="20" t="n">
        <v>12</v>
      </c>
      <c r="I46" s="6" t="n">
        <f aca="false">SUM(E46:H46)</f>
        <v>239</v>
      </c>
      <c r="J46" s="6" t="n">
        <f aca="false">E46+2*F46+3*G46+4*H46</f>
        <v>548</v>
      </c>
      <c r="K46" s="21" t="n">
        <f aca="false">J46/I46</f>
        <v>2.2928870292887</v>
      </c>
      <c r="L46" s="6" t="str">
        <f aca="false">IF(K46&gt;3,"Satisfactorio",IF(K46&gt;=2,"Aceptable","Bajo"))</f>
        <v>Aceptable</v>
      </c>
    </row>
    <row r="47" customFormat="false" ht="15" hidden="false" customHeight="false" outlineLevel="0" collapsed="false">
      <c r="A47" s="6" t="n">
        <v>9</v>
      </c>
      <c r="B47" s="6" t="s">
        <v>48</v>
      </c>
      <c r="C47" s="6" t="s">
        <v>51</v>
      </c>
      <c r="D47" s="6" t="s">
        <v>78</v>
      </c>
      <c r="E47" s="20" t="n">
        <v>4</v>
      </c>
      <c r="F47" s="20" t="n">
        <v>16</v>
      </c>
      <c r="G47" s="20" t="n">
        <v>16</v>
      </c>
      <c r="H47" s="20" t="n">
        <v>3</v>
      </c>
      <c r="I47" s="6" t="n">
        <f aca="false">SUM(E47:H47)</f>
        <v>39</v>
      </c>
      <c r="J47" s="6" t="n">
        <f aca="false">E47+2*F47+3*G47+4*H47</f>
        <v>96</v>
      </c>
      <c r="K47" s="21" t="n">
        <f aca="false">J47/I47</f>
        <v>2.46153846153846</v>
      </c>
      <c r="L47" s="6" t="str">
        <f aca="false">IF(K47&gt;3,"Satisfactorio",IF(K47&gt;=2,"Aceptable","Bajo"))</f>
        <v>Aceptable</v>
      </c>
    </row>
    <row r="48" customFormat="false" ht="15" hidden="false" customHeight="false" outlineLevel="0" collapsed="false">
      <c r="A48" s="6" t="n">
        <v>9</v>
      </c>
      <c r="B48" s="6" t="s">
        <v>48</v>
      </c>
      <c r="C48" s="6" t="s">
        <v>51</v>
      </c>
      <c r="D48" s="6" t="s">
        <v>79</v>
      </c>
      <c r="E48" s="20" t="n">
        <v>5</v>
      </c>
      <c r="F48" s="20" t="n">
        <v>19</v>
      </c>
      <c r="G48" s="20" t="n">
        <v>16</v>
      </c>
      <c r="H48" s="20" t="n">
        <v>3</v>
      </c>
      <c r="I48" s="6" t="n">
        <f aca="false">SUM(E48:H48)</f>
        <v>43</v>
      </c>
      <c r="J48" s="6" t="n">
        <f aca="false">E48+2*F48+3*G48+4*H48</f>
        <v>103</v>
      </c>
      <c r="K48" s="21" t="n">
        <f aca="false">J48/I48</f>
        <v>2.3953488372093</v>
      </c>
      <c r="L48" s="6" t="str">
        <f aca="false">IF(K48&gt;3,"Satisfactorio",IF(K48&gt;=2,"Aceptable","Bajo"))</f>
        <v>Aceptable</v>
      </c>
    </row>
    <row r="49" customFormat="false" ht="15" hidden="false" customHeight="false" outlineLevel="0" collapsed="false">
      <c r="A49" s="6" t="n">
        <v>9</v>
      </c>
      <c r="B49" s="6" t="s">
        <v>48</v>
      </c>
      <c r="C49" s="6" t="s">
        <v>51</v>
      </c>
      <c r="D49" s="6" t="s">
        <v>80</v>
      </c>
      <c r="E49" s="20" t="n">
        <v>1</v>
      </c>
      <c r="F49" s="20" t="n">
        <v>6</v>
      </c>
      <c r="G49" s="20" t="n">
        <v>9</v>
      </c>
      <c r="H49" s="20" t="n">
        <v>3</v>
      </c>
      <c r="I49" s="6" t="n">
        <f aca="false">SUM(E49:H49)</f>
        <v>19</v>
      </c>
      <c r="J49" s="6" t="n">
        <f aca="false">E49+2*F49+3*G49+4*H49</f>
        <v>52</v>
      </c>
      <c r="K49" s="21" t="n">
        <f aca="false">J49/I49</f>
        <v>2.73684210526316</v>
      </c>
      <c r="L49" s="6" t="str">
        <f aca="false">IF(K49&gt;3,"Satisfactorio",IF(K49&gt;=2,"Aceptable","Bajo"))</f>
        <v>Aceptable</v>
      </c>
    </row>
    <row r="50" customFormat="false" ht="15" hidden="false" customHeight="false" outlineLevel="0" collapsed="false">
      <c r="A50" s="6" t="n">
        <v>9</v>
      </c>
      <c r="B50" s="6" t="s">
        <v>48</v>
      </c>
      <c r="C50" s="6" t="s">
        <v>51</v>
      </c>
      <c r="D50" s="6" t="s">
        <v>81</v>
      </c>
      <c r="E50" s="20" t="n">
        <v>0</v>
      </c>
      <c r="F50" s="20" t="n">
        <v>1</v>
      </c>
      <c r="G50" s="20" t="n">
        <v>2</v>
      </c>
      <c r="H50" s="20" t="n">
        <v>2</v>
      </c>
      <c r="I50" s="6" t="n">
        <f aca="false">SUM(E50:H50)</f>
        <v>5</v>
      </c>
      <c r="J50" s="6" t="n">
        <f aca="false">E50+2*F50+3*G50+4*H50</f>
        <v>16</v>
      </c>
      <c r="K50" s="21" t="n">
        <f aca="false">J50/I50</f>
        <v>3.2</v>
      </c>
      <c r="L50" s="6" t="str">
        <f aca="false">IF(K50&gt;3,"Satisfactorio",IF(K50&gt;=2,"Aceptable","Bajo"))</f>
        <v>Satisfactorio</v>
      </c>
    </row>
    <row r="51" customFormat="false" ht="23.85" hidden="false" customHeight="false" outlineLevel="0" collapsed="false">
      <c r="A51" s="6" t="n">
        <v>10</v>
      </c>
      <c r="B51" s="6" t="s">
        <v>52</v>
      </c>
      <c r="C51" s="6" t="s">
        <v>53</v>
      </c>
      <c r="D51" s="6" t="s">
        <v>77</v>
      </c>
      <c r="E51" s="20" t="n">
        <v>12</v>
      </c>
      <c r="F51" s="20" t="n">
        <v>80</v>
      </c>
      <c r="G51" s="20" t="n">
        <v>113</v>
      </c>
      <c r="H51" s="20" t="n">
        <v>34</v>
      </c>
      <c r="I51" s="6" t="n">
        <f aca="false">SUM(E51:H51)</f>
        <v>239</v>
      </c>
      <c r="J51" s="6" t="n">
        <f aca="false">E51+2*F51+3*G51+4*H51</f>
        <v>647</v>
      </c>
      <c r="K51" s="21" t="n">
        <f aca="false">J51/I51</f>
        <v>2.7071129707113</v>
      </c>
      <c r="L51" s="6" t="str">
        <f aca="false">IF(K51&gt;3,"Satisfactorio",IF(K51&gt;=2,"Aceptable","Bajo"))</f>
        <v>Aceptable</v>
      </c>
    </row>
    <row r="52" customFormat="false" ht="23.85" hidden="false" customHeight="false" outlineLevel="0" collapsed="false">
      <c r="A52" s="6" t="n">
        <v>10</v>
      </c>
      <c r="B52" s="6" t="s">
        <v>52</v>
      </c>
      <c r="C52" s="6" t="s">
        <v>53</v>
      </c>
      <c r="D52" s="6" t="s">
        <v>78</v>
      </c>
      <c r="E52" s="20" t="n">
        <v>1</v>
      </c>
      <c r="F52" s="20" t="n">
        <v>10</v>
      </c>
      <c r="G52" s="20" t="n">
        <v>20</v>
      </c>
      <c r="H52" s="20" t="n">
        <v>8</v>
      </c>
      <c r="I52" s="6" t="n">
        <f aca="false">SUM(E52:H52)</f>
        <v>39</v>
      </c>
      <c r="J52" s="6" t="n">
        <f aca="false">E52+2*F52+3*G52+4*H52</f>
        <v>113</v>
      </c>
      <c r="K52" s="21" t="n">
        <f aca="false">J52/I52</f>
        <v>2.8974358974359</v>
      </c>
      <c r="L52" s="6" t="str">
        <f aca="false">IF(K52&gt;3,"Satisfactorio",IF(K52&gt;=2,"Aceptable","Bajo"))</f>
        <v>Aceptable</v>
      </c>
    </row>
    <row r="53" customFormat="false" ht="23.85" hidden="false" customHeight="false" outlineLevel="0" collapsed="false">
      <c r="A53" s="6" t="n">
        <v>10</v>
      </c>
      <c r="B53" s="6" t="s">
        <v>52</v>
      </c>
      <c r="C53" s="6" t="s">
        <v>53</v>
      </c>
      <c r="D53" s="6" t="s">
        <v>79</v>
      </c>
      <c r="E53" s="20" t="n">
        <v>4</v>
      </c>
      <c r="F53" s="20" t="n">
        <v>19</v>
      </c>
      <c r="G53" s="20" t="n">
        <v>17</v>
      </c>
      <c r="H53" s="20" t="n">
        <v>3</v>
      </c>
      <c r="I53" s="6" t="n">
        <f aca="false">SUM(E53:H53)</f>
        <v>43</v>
      </c>
      <c r="J53" s="6" t="n">
        <f aca="false">E53+2*F53+3*G53+4*H53</f>
        <v>105</v>
      </c>
      <c r="K53" s="21" t="n">
        <f aca="false">J53/I53</f>
        <v>2.44186046511628</v>
      </c>
      <c r="L53" s="6" t="str">
        <f aca="false">IF(K53&gt;3,"Satisfactorio",IF(K53&gt;=2,"Aceptable","Bajo"))</f>
        <v>Aceptable</v>
      </c>
    </row>
    <row r="54" customFormat="false" ht="23.85" hidden="false" customHeight="false" outlineLevel="0" collapsed="false">
      <c r="A54" s="6" t="n">
        <v>10</v>
      </c>
      <c r="B54" s="6" t="s">
        <v>52</v>
      </c>
      <c r="C54" s="6" t="s">
        <v>53</v>
      </c>
      <c r="D54" s="6" t="s">
        <v>80</v>
      </c>
      <c r="E54" s="20" t="n">
        <v>0</v>
      </c>
      <c r="F54" s="20" t="n">
        <v>4</v>
      </c>
      <c r="G54" s="20" t="n">
        <v>10</v>
      </c>
      <c r="H54" s="20" t="n">
        <v>5</v>
      </c>
      <c r="I54" s="6" t="n">
        <f aca="false">SUM(E54:H54)</f>
        <v>19</v>
      </c>
      <c r="J54" s="6" t="n">
        <f aca="false">E54+2*F54+3*G54+4*H54</f>
        <v>58</v>
      </c>
      <c r="K54" s="21" t="n">
        <f aca="false">J54/I54</f>
        <v>3.05263157894737</v>
      </c>
      <c r="L54" s="6" t="str">
        <f aca="false">IF(K54&gt;3,"Satisfactorio",IF(K54&gt;=2,"Aceptable","Bajo"))</f>
        <v>Satisfactorio</v>
      </c>
    </row>
    <row r="55" customFormat="false" ht="23.85" hidden="false" customHeight="false" outlineLevel="0" collapsed="false">
      <c r="A55" s="6" t="n">
        <v>10</v>
      </c>
      <c r="B55" s="6" t="s">
        <v>52</v>
      </c>
      <c r="C55" s="6" t="s">
        <v>53</v>
      </c>
      <c r="D55" s="6" t="s">
        <v>81</v>
      </c>
      <c r="E55" s="20" t="n">
        <v>0</v>
      </c>
      <c r="F55" s="20" t="n">
        <v>1</v>
      </c>
      <c r="G55" s="20" t="n">
        <v>2</v>
      </c>
      <c r="H55" s="20" t="n">
        <v>2</v>
      </c>
      <c r="I55" s="6" t="n">
        <f aca="false">SUM(E55:H55)</f>
        <v>5</v>
      </c>
      <c r="J55" s="6" t="n">
        <f aca="false">E55+2*F55+3*G55+4*H55</f>
        <v>16</v>
      </c>
      <c r="K55" s="21" t="n">
        <f aca="false">J55/I55</f>
        <v>3.2</v>
      </c>
      <c r="L55" s="6" t="str">
        <f aca="false">IF(K55&gt;3,"Satisfactorio",IF(K55&gt;=2,"Aceptable","Bajo"))</f>
        <v>Satisfactorio</v>
      </c>
    </row>
    <row r="56" customFormat="false" ht="15" hidden="false" customHeight="false" outlineLevel="0" collapsed="false">
      <c r="A56" s="6" t="n">
        <v>11</v>
      </c>
      <c r="B56" s="6" t="s">
        <v>52</v>
      </c>
      <c r="C56" s="6" t="s">
        <v>54</v>
      </c>
      <c r="D56" s="6" t="s">
        <v>77</v>
      </c>
      <c r="E56" s="20" t="n">
        <v>16</v>
      </c>
      <c r="F56" s="20" t="n">
        <v>91</v>
      </c>
      <c r="G56" s="20" t="n">
        <v>106</v>
      </c>
      <c r="H56" s="20" t="n">
        <v>26</v>
      </c>
      <c r="I56" s="6" t="n">
        <f aca="false">SUM(E56:H56)</f>
        <v>239</v>
      </c>
      <c r="J56" s="6" t="n">
        <f aca="false">E56+2*F56+3*G56+4*H56</f>
        <v>620</v>
      </c>
      <c r="K56" s="21" t="n">
        <f aca="false">J56/I56</f>
        <v>2.59414225941423</v>
      </c>
      <c r="L56" s="6" t="str">
        <f aca="false">IF(K56&gt;3,"Satisfactorio",IF(K56&gt;=2,"Aceptable","Bajo"))</f>
        <v>Aceptable</v>
      </c>
    </row>
    <row r="57" customFormat="false" ht="15" hidden="false" customHeight="false" outlineLevel="0" collapsed="false">
      <c r="A57" s="6" t="n">
        <v>11</v>
      </c>
      <c r="B57" s="6" t="s">
        <v>52</v>
      </c>
      <c r="C57" s="6" t="s">
        <v>54</v>
      </c>
      <c r="D57" s="6" t="s">
        <v>78</v>
      </c>
      <c r="E57" s="20" t="n">
        <v>2</v>
      </c>
      <c r="F57" s="20" t="n">
        <v>12</v>
      </c>
      <c r="G57" s="20" t="n">
        <v>19</v>
      </c>
      <c r="H57" s="20" t="n">
        <v>6</v>
      </c>
      <c r="I57" s="6" t="n">
        <f aca="false">SUM(E57:H57)</f>
        <v>39</v>
      </c>
      <c r="J57" s="6" t="n">
        <f aca="false">E57+2*F57+3*G57+4*H57</f>
        <v>107</v>
      </c>
      <c r="K57" s="21" t="n">
        <f aca="false">J57/I57</f>
        <v>2.74358974358974</v>
      </c>
      <c r="L57" s="6" t="str">
        <f aca="false">IF(K57&gt;3,"Satisfactorio",IF(K57&gt;=2,"Aceptable","Bajo"))</f>
        <v>Aceptable</v>
      </c>
    </row>
    <row r="58" customFormat="false" ht="15" hidden="false" customHeight="false" outlineLevel="0" collapsed="false">
      <c r="A58" s="6" t="n">
        <v>11</v>
      </c>
      <c r="B58" s="6" t="s">
        <v>52</v>
      </c>
      <c r="C58" s="6" t="s">
        <v>54</v>
      </c>
      <c r="D58" s="6" t="s">
        <v>79</v>
      </c>
      <c r="E58" s="20" t="n">
        <v>6</v>
      </c>
      <c r="F58" s="20" t="n">
        <v>20</v>
      </c>
      <c r="G58" s="20" t="n">
        <v>15</v>
      </c>
      <c r="H58" s="20" t="n">
        <v>2</v>
      </c>
      <c r="I58" s="6" t="n">
        <f aca="false">SUM(E58:H58)</f>
        <v>43</v>
      </c>
      <c r="J58" s="6" t="n">
        <f aca="false">E58+2*F58+3*G58+4*H58</f>
        <v>99</v>
      </c>
      <c r="K58" s="21" t="n">
        <f aca="false">J58/I58</f>
        <v>2.30232558139535</v>
      </c>
      <c r="L58" s="6" t="str">
        <f aca="false">IF(K58&gt;3,"Satisfactorio",IF(K58&gt;=2,"Aceptable","Bajo"))</f>
        <v>Aceptable</v>
      </c>
    </row>
    <row r="59" customFormat="false" ht="15" hidden="false" customHeight="false" outlineLevel="0" collapsed="false">
      <c r="A59" s="6" t="n">
        <v>11</v>
      </c>
      <c r="B59" s="6" t="s">
        <v>52</v>
      </c>
      <c r="C59" s="6" t="s">
        <v>54</v>
      </c>
      <c r="D59" s="6" t="s">
        <v>80</v>
      </c>
      <c r="E59" s="20" t="n">
        <v>0</v>
      </c>
      <c r="F59" s="20" t="n">
        <v>5</v>
      </c>
      <c r="G59" s="20" t="n">
        <v>10</v>
      </c>
      <c r="H59" s="20" t="n">
        <v>4</v>
      </c>
      <c r="I59" s="6" t="n">
        <f aca="false">SUM(E59:H59)</f>
        <v>19</v>
      </c>
      <c r="J59" s="6" t="n">
        <f aca="false">E59+2*F59+3*G59+4*H59</f>
        <v>56</v>
      </c>
      <c r="K59" s="21" t="n">
        <f aca="false">J59/I59</f>
        <v>2.94736842105263</v>
      </c>
      <c r="L59" s="6" t="str">
        <f aca="false">IF(K59&gt;3,"Satisfactorio",IF(K59&gt;=2,"Aceptable","Bajo"))</f>
        <v>Aceptable</v>
      </c>
    </row>
    <row r="60" customFormat="false" ht="15" hidden="false" customHeight="false" outlineLevel="0" collapsed="false">
      <c r="A60" s="6" t="n">
        <v>11</v>
      </c>
      <c r="B60" s="6" t="s">
        <v>52</v>
      </c>
      <c r="C60" s="6" t="s">
        <v>54</v>
      </c>
      <c r="D60" s="6" t="s">
        <v>81</v>
      </c>
      <c r="E60" s="20" t="n">
        <v>0</v>
      </c>
      <c r="F60" s="20" t="n">
        <v>1</v>
      </c>
      <c r="G60" s="20" t="n">
        <v>2</v>
      </c>
      <c r="H60" s="20" t="n">
        <v>2</v>
      </c>
      <c r="I60" s="6" t="n">
        <f aca="false">SUM(E60:H60)</f>
        <v>5</v>
      </c>
      <c r="J60" s="6" t="n">
        <f aca="false">E60+2*F60+3*G60+4*H60</f>
        <v>16</v>
      </c>
      <c r="K60" s="21" t="n">
        <f aca="false">J60/I60</f>
        <v>3.2</v>
      </c>
      <c r="L60" s="6" t="str">
        <f aca="false">IF(K60&gt;3,"Satisfactorio",IF(K60&gt;=2,"Aceptable","Bajo"))</f>
        <v>Satisfactorio</v>
      </c>
    </row>
    <row r="61" customFormat="false" ht="15" hidden="false" customHeight="false" outlineLevel="0" collapsed="false">
      <c r="A61" s="6" t="n">
        <v>12</v>
      </c>
      <c r="B61" s="6" t="s">
        <v>52</v>
      </c>
      <c r="C61" s="6" t="s">
        <v>55</v>
      </c>
      <c r="D61" s="6" t="s">
        <v>77</v>
      </c>
      <c r="E61" s="20" t="n">
        <v>22</v>
      </c>
      <c r="F61" s="20" t="n">
        <v>100</v>
      </c>
      <c r="G61" s="20" t="n">
        <v>97</v>
      </c>
      <c r="H61" s="20" t="n">
        <v>20</v>
      </c>
      <c r="I61" s="6" t="n">
        <f aca="false">SUM(E61:H61)</f>
        <v>239</v>
      </c>
      <c r="J61" s="6" t="n">
        <f aca="false">E61+2*F61+3*G61+4*H61</f>
        <v>593</v>
      </c>
      <c r="K61" s="21" t="n">
        <f aca="false">J61/I61</f>
        <v>2.48117154811716</v>
      </c>
      <c r="L61" s="6" t="str">
        <f aca="false">IF(K61&gt;3,"Satisfactorio",IF(K61&gt;=2,"Aceptable","Bajo"))</f>
        <v>Aceptable</v>
      </c>
    </row>
    <row r="62" customFormat="false" ht="15" hidden="false" customHeight="false" outlineLevel="0" collapsed="false">
      <c r="A62" s="6" t="n">
        <v>12</v>
      </c>
      <c r="B62" s="6" t="s">
        <v>52</v>
      </c>
      <c r="C62" s="6" t="s">
        <v>55</v>
      </c>
      <c r="D62" s="6" t="s">
        <v>78</v>
      </c>
      <c r="E62" s="20" t="n">
        <v>2</v>
      </c>
      <c r="F62" s="20" t="n">
        <v>14</v>
      </c>
      <c r="G62" s="20" t="n">
        <v>18</v>
      </c>
      <c r="H62" s="20" t="n">
        <v>5</v>
      </c>
      <c r="I62" s="6" t="n">
        <f aca="false">SUM(E62:H62)</f>
        <v>39</v>
      </c>
      <c r="J62" s="6" t="n">
        <f aca="false">E62+2*F62+3*G62+4*H62</f>
        <v>104</v>
      </c>
      <c r="K62" s="21" t="n">
        <f aca="false">J62/I62</f>
        <v>2.66666666666667</v>
      </c>
      <c r="L62" s="6" t="str">
        <f aca="false">IF(K62&gt;3,"Satisfactorio",IF(K62&gt;=2,"Aceptable","Bajo"))</f>
        <v>Aceptable</v>
      </c>
    </row>
    <row r="63" customFormat="false" ht="15" hidden="false" customHeight="false" outlineLevel="0" collapsed="false">
      <c r="A63" s="6" t="n">
        <v>12</v>
      </c>
      <c r="B63" s="6" t="s">
        <v>52</v>
      </c>
      <c r="C63" s="6" t="s">
        <v>55</v>
      </c>
      <c r="D63" s="6" t="s">
        <v>79</v>
      </c>
      <c r="E63" s="20" t="n">
        <v>7</v>
      </c>
      <c r="F63" s="20" t="n">
        <v>21</v>
      </c>
      <c r="G63" s="20" t="n">
        <v>13</v>
      </c>
      <c r="H63" s="20" t="n">
        <v>2</v>
      </c>
      <c r="I63" s="6" t="n">
        <f aca="false">SUM(E63:H63)</f>
        <v>43</v>
      </c>
      <c r="J63" s="6" t="n">
        <f aca="false">E63+2*F63+3*G63+4*H63</f>
        <v>96</v>
      </c>
      <c r="K63" s="21" t="n">
        <f aca="false">J63/I63</f>
        <v>2.23255813953488</v>
      </c>
      <c r="L63" s="6" t="str">
        <f aca="false">IF(K63&gt;3,"Satisfactorio",IF(K63&gt;=2,"Aceptable","Bajo"))</f>
        <v>Aceptable</v>
      </c>
    </row>
    <row r="64" customFormat="false" ht="15" hidden="false" customHeight="false" outlineLevel="0" collapsed="false">
      <c r="A64" s="6" t="n">
        <v>12</v>
      </c>
      <c r="B64" s="6" t="s">
        <v>52</v>
      </c>
      <c r="C64" s="6" t="s">
        <v>55</v>
      </c>
      <c r="D64" s="6" t="s">
        <v>80</v>
      </c>
      <c r="E64" s="20" t="n">
        <v>1</v>
      </c>
      <c r="F64" s="20" t="n">
        <v>5</v>
      </c>
      <c r="G64" s="20" t="n">
        <v>9</v>
      </c>
      <c r="H64" s="20" t="n">
        <v>4</v>
      </c>
      <c r="I64" s="6" t="n">
        <f aca="false">SUM(E64:H64)</f>
        <v>19</v>
      </c>
      <c r="J64" s="6" t="n">
        <f aca="false">E64+2*F64+3*G64+4*H64</f>
        <v>54</v>
      </c>
      <c r="K64" s="21" t="n">
        <f aca="false">J64/I64</f>
        <v>2.84210526315789</v>
      </c>
      <c r="L64" s="6" t="str">
        <f aca="false">IF(K64&gt;3,"Satisfactorio",IF(K64&gt;=2,"Aceptable","Bajo"))</f>
        <v>Aceptable</v>
      </c>
    </row>
    <row r="65" customFormat="false" ht="15" hidden="false" customHeight="false" outlineLevel="0" collapsed="false">
      <c r="A65" s="6" t="n">
        <v>12</v>
      </c>
      <c r="B65" s="6" t="s">
        <v>52</v>
      </c>
      <c r="C65" s="6" t="s">
        <v>55</v>
      </c>
      <c r="D65" s="6" t="s">
        <v>81</v>
      </c>
      <c r="E65" s="20" t="n">
        <v>0</v>
      </c>
      <c r="F65" s="20" t="n">
        <v>1</v>
      </c>
      <c r="G65" s="20" t="n">
        <v>3</v>
      </c>
      <c r="H65" s="20" t="n">
        <v>1</v>
      </c>
      <c r="I65" s="6" t="n">
        <f aca="false">SUM(E65:H65)</f>
        <v>5</v>
      </c>
      <c r="J65" s="6" t="n">
        <f aca="false">E65+2*F65+3*G65+4*H65</f>
        <v>15</v>
      </c>
      <c r="K65" s="21" t="n">
        <f aca="false">J65/I65</f>
        <v>3</v>
      </c>
      <c r="L65" s="6" t="str">
        <f aca="false">IF(K65&gt;3,"Satisfactorio",IF(K65&gt;=2,"Aceptable","Bajo"))</f>
        <v>Aceptable</v>
      </c>
    </row>
    <row r="66" customFormat="false" ht="23.85" hidden="false" customHeight="false" outlineLevel="0" collapsed="false">
      <c r="A66" s="6" t="n">
        <v>13</v>
      </c>
      <c r="B66" s="6" t="s">
        <v>56</v>
      </c>
      <c r="C66" s="6" t="s">
        <v>57</v>
      </c>
      <c r="D66" s="6" t="s">
        <v>77</v>
      </c>
      <c r="E66" s="20" t="n">
        <v>5</v>
      </c>
      <c r="F66" s="20" t="n">
        <v>54</v>
      </c>
      <c r="G66" s="20" t="n">
        <v>122</v>
      </c>
      <c r="H66" s="20" t="n">
        <v>58</v>
      </c>
      <c r="I66" s="6" t="n">
        <f aca="false">SUM(E66:H66)</f>
        <v>239</v>
      </c>
      <c r="J66" s="6" t="n">
        <f aca="false">E66+2*F66+3*G66+4*H66</f>
        <v>711</v>
      </c>
      <c r="K66" s="21" t="n">
        <f aca="false">J66/I66</f>
        <v>2.97489539748954</v>
      </c>
      <c r="L66" s="6" t="str">
        <f aca="false">IF(K66&gt;3,"Satisfactorio",IF(K66&gt;=2,"Aceptable","Bajo"))</f>
        <v>Aceptable</v>
      </c>
    </row>
    <row r="67" customFormat="false" ht="23.85" hidden="false" customHeight="false" outlineLevel="0" collapsed="false">
      <c r="A67" s="6" t="n">
        <v>13</v>
      </c>
      <c r="B67" s="6" t="s">
        <v>56</v>
      </c>
      <c r="C67" s="6" t="s">
        <v>57</v>
      </c>
      <c r="D67" s="6" t="s">
        <v>78</v>
      </c>
      <c r="E67" s="20" t="n">
        <v>2</v>
      </c>
      <c r="F67" s="20" t="n">
        <v>13</v>
      </c>
      <c r="G67" s="20" t="n">
        <v>19</v>
      </c>
      <c r="H67" s="20" t="n">
        <v>5</v>
      </c>
      <c r="I67" s="6" t="n">
        <f aca="false">SUM(E67:H67)</f>
        <v>39</v>
      </c>
      <c r="J67" s="6" t="n">
        <f aca="false">E67+2*F67+3*G67+4*H67</f>
        <v>105</v>
      </c>
      <c r="K67" s="21" t="n">
        <f aca="false">J67/I67</f>
        <v>2.69230769230769</v>
      </c>
      <c r="L67" s="6" t="str">
        <f aca="false">IF(K67&gt;3,"Satisfactorio",IF(K67&gt;=2,"Aceptable","Bajo"))</f>
        <v>Aceptable</v>
      </c>
    </row>
    <row r="68" customFormat="false" ht="23.85" hidden="false" customHeight="false" outlineLevel="0" collapsed="false">
      <c r="A68" s="6" t="n">
        <v>13</v>
      </c>
      <c r="B68" s="6" t="s">
        <v>56</v>
      </c>
      <c r="C68" s="6" t="s">
        <v>57</v>
      </c>
      <c r="D68" s="6" t="s">
        <v>79</v>
      </c>
      <c r="E68" s="20" t="n">
        <v>2</v>
      </c>
      <c r="F68" s="20" t="n">
        <v>13</v>
      </c>
      <c r="G68" s="20" t="n">
        <v>21</v>
      </c>
      <c r="H68" s="20" t="n">
        <v>7</v>
      </c>
      <c r="I68" s="6" t="n">
        <f aca="false">SUM(E68:H68)</f>
        <v>43</v>
      </c>
      <c r="J68" s="6" t="n">
        <f aca="false">E68+2*F68+3*G68+4*H68</f>
        <v>119</v>
      </c>
      <c r="K68" s="21" t="n">
        <f aca="false">J68/I68</f>
        <v>2.76744186046512</v>
      </c>
      <c r="L68" s="6" t="str">
        <f aca="false">IF(K68&gt;3,"Satisfactorio",IF(K68&gt;=2,"Aceptable","Bajo"))</f>
        <v>Aceptable</v>
      </c>
    </row>
    <row r="69" customFormat="false" ht="23.85" hidden="false" customHeight="false" outlineLevel="0" collapsed="false">
      <c r="A69" s="6" t="n">
        <v>13</v>
      </c>
      <c r="B69" s="6" t="s">
        <v>56</v>
      </c>
      <c r="C69" s="6" t="s">
        <v>57</v>
      </c>
      <c r="D69" s="6" t="s">
        <v>80</v>
      </c>
      <c r="E69" s="20" t="n">
        <v>0</v>
      </c>
      <c r="F69" s="20" t="n">
        <v>2</v>
      </c>
      <c r="G69" s="20" t="n">
        <v>9</v>
      </c>
      <c r="H69" s="20" t="n">
        <v>8</v>
      </c>
      <c r="I69" s="6" t="n">
        <f aca="false">SUM(E69:H69)</f>
        <v>19</v>
      </c>
      <c r="J69" s="6" t="n">
        <f aca="false">E69+2*F69+3*G69+4*H69</f>
        <v>63</v>
      </c>
      <c r="K69" s="21" t="n">
        <f aca="false">J69/I69</f>
        <v>3.31578947368421</v>
      </c>
      <c r="L69" s="6" t="str">
        <f aca="false">IF(K69&gt;3,"Satisfactorio",IF(K69&gt;=2,"Aceptable","Bajo"))</f>
        <v>Satisfactorio</v>
      </c>
    </row>
    <row r="70" customFormat="false" ht="23.85" hidden="false" customHeight="false" outlineLevel="0" collapsed="false">
      <c r="A70" s="6" t="n">
        <v>13</v>
      </c>
      <c r="B70" s="6" t="s">
        <v>56</v>
      </c>
      <c r="C70" s="6" t="s">
        <v>57</v>
      </c>
      <c r="D70" s="6" t="s">
        <v>81</v>
      </c>
      <c r="E70" s="20" t="n">
        <v>0</v>
      </c>
      <c r="F70" s="20" t="n">
        <v>1</v>
      </c>
      <c r="G70" s="20" t="n">
        <v>2</v>
      </c>
      <c r="H70" s="20" t="n">
        <v>2</v>
      </c>
      <c r="I70" s="6" t="n">
        <f aca="false">SUM(E70:H70)</f>
        <v>5</v>
      </c>
      <c r="J70" s="6" t="n">
        <f aca="false">E70+2*F70+3*G70+4*H70</f>
        <v>16</v>
      </c>
      <c r="K70" s="21" t="n">
        <f aca="false">J70/I70</f>
        <v>3.2</v>
      </c>
      <c r="L70" s="6" t="str">
        <f aca="false">IF(K70&gt;3,"Satisfactorio",IF(K70&gt;=2,"Aceptable","Bajo"))</f>
        <v>Satisfactorio</v>
      </c>
    </row>
    <row r="71" customFormat="false" ht="23.85" hidden="false" customHeight="false" outlineLevel="0" collapsed="false">
      <c r="A71" s="6" t="n">
        <v>14</v>
      </c>
      <c r="B71" s="6" t="s">
        <v>56</v>
      </c>
      <c r="C71" s="6" t="s">
        <v>58</v>
      </c>
      <c r="D71" s="6" t="s">
        <v>77</v>
      </c>
      <c r="E71" s="20" t="n">
        <v>7</v>
      </c>
      <c r="F71" s="20" t="n">
        <v>65</v>
      </c>
      <c r="G71" s="20" t="n">
        <v>120</v>
      </c>
      <c r="H71" s="20" t="n">
        <v>47</v>
      </c>
      <c r="I71" s="6" t="n">
        <f aca="false">SUM(E71:H71)</f>
        <v>239</v>
      </c>
      <c r="J71" s="6" t="n">
        <f aca="false">E71+2*F71+3*G71+4*H71</f>
        <v>685</v>
      </c>
      <c r="K71" s="21" t="n">
        <f aca="false">J71/I71</f>
        <v>2.86610878661088</v>
      </c>
      <c r="L71" s="6" t="str">
        <f aca="false">IF(K71&gt;3,"Satisfactorio",IF(K71&gt;=2,"Aceptable","Bajo"))</f>
        <v>Aceptable</v>
      </c>
    </row>
    <row r="72" customFormat="false" ht="23.85" hidden="false" customHeight="false" outlineLevel="0" collapsed="false">
      <c r="A72" s="6" t="n">
        <v>14</v>
      </c>
      <c r="B72" s="6" t="s">
        <v>56</v>
      </c>
      <c r="C72" s="6" t="s">
        <v>58</v>
      </c>
      <c r="D72" s="6" t="s">
        <v>78</v>
      </c>
      <c r="E72" s="20" t="n">
        <v>3</v>
      </c>
      <c r="F72" s="20" t="n">
        <v>15</v>
      </c>
      <c r="G72" s="20" t="n">
        <v>17</v>
      </c>
      <c r="H72" s="20" t="n">
        <v>4</v>
      </c>
      <c r="I72" s="6" t="n">
        <f aca="false">SUM(E72:H72)</f>
        <v>39</v>
      </c>
      <c r="J72" s="6" t="n">
        <f aca="false">E72+2*F72+3*G72+4*H72</f>
        <v>100</v>
      </c>
      <c r="K72" s="21" t="n">
        <f aca="false">J72/I72</f>
        <v>2.56410256410256</v>
      </c>
      <c r="L72" s="6" t="str">
        <f aca="false">IF(K72&gt;3,"Satisfactorio",IF(K72&gt;=2,"Aceptable","Bajo"))</f>
        <v>Aceptable</v>
      </c>
    </row>
    <row r="73" customFormat="false" ht="23.85" hidden="false" customHeight="false" outlineLevel="0" collapsed="false">
      <c r="A73" s="6" t="n">
        <v>14</v>
      </c>
      <c r="B73" s="6" t="s">
        <v>56</v>
      </c>
      <c r="C73" s="6" t="s">
        <v>58</v>
      </c>
      <c r="D73" s="6" t="s">
        <v>79</v>
      </c>
      <c r="E73" s="20" t="n">
        <v>2</v>
      </c>
      <c r="F73" s="20" t="n">
        <v>15</v>
      </c>
      <c r="G73" s="20" t="n">
        <v>20</v>
      </c>
      <c r="H73" s="20" t="n">
        <v>6</v>
      </c>
      <c r="I73" s="6" t="n">
        <f aca="false">SUM(E73:H73)</f>
        <v>43</v>
      </c>
      <c r="J73" s="6" t="n">
        <f aca="false">E73+2*F73+3*G73+4*H73</f>
        <v>116</v>
      </c>
      <c r="K73" s="21" t="n">
        <f aca="false">J73/I73</f>
        <v>2.69767441860465</v>
      </c>
      <c r="L73" s="6" t="str">
        <f aca="false">IF(K73&gt;3,"Satisfactorio",IF(K73&gt;=2,"Aceptable","Bajo"))</f>
        <v>Aceptable</v>
      </c>
    </row>
    <row r="74" customFormat="false" ht="23.85" hidden="false" customHeight="false" outlineLevel="0" collapsed="false">
      <c r="A74" s="6" t="n">
        <v>14</v>
      </c>
      <c r="B74" s="6" t="s">
        <v>56</v>
      </c>
      <c r="C74" s="6" t="s">
        <v>58</v>
      </c>
      <c r="D74" s="6" t="s">
        <v>80</v>
      </c>
      <c r="E74" s="20" t="n">
        <v>0</v>
      </c>
      <c r="F74" s="20" t="n">
        <v>3</v>
      </c>
      <c r="G74" s="20" t="n">
        <v>9</v>
      </c>
      <c r="H74" s="20" t="n">
        <v>7</v>
      </c>
      <c r="I74" s="6" t="n">
        <f aca="false">SUM(E74:H74)</f>
        <v>19</v>
      </c>
      <c r="J74" s="6" t="n">
        <f aca="false">E74+2*F74+3*G74+4*H74</f>
        <v>61</v>
      </c>
      <c r="K74" s="21" t="n">
        <f aca="false">J74/I74</f>
        <v>3.21052631578947</v>
      </c>
      <c r="L74" s="6" t="str">
        <f aca="false">IF(K74&gt;3,"Satisfactorio",IF(K74&gt;=2,"Aceptable","Bajo"))</f>
        <v>Satisfactorio</v>
      </c>
    </row>
    <row r="75" customFormat="false" ht="23.85" hidden="false" customHeight="false" outlineLevel="0" collapsed="false">
      <c r="A75" s="6" t="n">
        <v>14</v>
      </c>
      <c r="B75" s="6" t="s">
        <v>56</v>
      </c>
      <c r="C75" s="6" t="s">
        <v>58</v>
      </c>
      <c r="D75" s="6" t="s">
        <v>81</v>
      </c>
      <c r="E75" s="20" t="n">
        <v>0</v>
      </c>
      <c r="F75" s="20" t="n">
        <v>1</v>
      </c>
      <c r="G75" s="20" t="n">
        <v>2</v>
      </c>
      <c r="H75" s="20" t="n">
        <v>2</v>
      </c>
      <c r="I75" s="6" t="n">
        <f aca="false">SUM(E75:H75)</f>
        <v>5</v>
      </c>
      <c r="J75" s="6" t="n">
        <f aca="false">E75+2*F75+3*G75+4*H75</f>
        <v>16</v>
      </c>
      <c r="K75" s="21" t="n">
        <f aca="false">J75/I75</f>
        <v>3.2</v>
      </c>
      <c r="L75" s="6" t="str">
        <f aca="false">IF(K75&gt;3,"Satisfactorio",IF(K75&gt;=2,"Aceptable","Bajo"))</f>
        <v>Satisfactorio</v>
      </c>
    </row>
    <row r="76" customFormat="false" ht="15" hidden="false" customHeight="false" outlineLevel="0" collapsed="false">
      <c r="A76" s="6" t="n">
        <v>15</v>
      </c>
      <c r="B76" s="6" t="s">
        <v>56</v>
      </c>
      <c r="C76" s="6" t="s">
        <v>59</v>
      </c>
      <c r="D76" s="6" t="s">
        <v>77</v>
      </c>
      <c r="E76" s="20" t="n">
        <v>10</v>
      </c>
      <c r="F76" s="20" t="n">
        <v>75</v>
      </c>
      <c r="G76" s="20" t="n">
        <v>116</v>
      </c>
      <c r="H76" s="20" t="n">
        <v>38</v>
      </c>
      <c r="I76" s="6" t="n">
        <f aca="false">SUM(E76:H76)</f>
        <v>239</v>
      </c>
      <c r="J76" s="6" t="n">
        <f aca="false">E76+2*F76+3*G76+4*H76</f>
        <v>660</v>
      </c>
      <c r="K76" s="21" t="n">
        <f aca="false">J76/I76</f>
        <v>2.76150627615063</v>
      </c>
      <c r="L76" s="6" t="str">
        <f aca="false">IF(K76&gt;3,"Satisfactorio",IF(K76&gt;=2,"Aceptable","Bajo"))</f>
        <v>Aceptable</v>
      </c>
    </row>
    <row r="77" customFormat="false" ht="15" hidden="false" customHeight="false" outlineLevel="0" collapsed="false">
      <c r="A77" s="6" t="n">
        <v>15</v>
      </c>
      <c r="B77" s="6" t="s">
        <v>56</v>
      </c>
      <c r="C77" s="6" t="s">
        <v>59</v>
      </c>
      <c r="D77" s="6" t="s">
        <v>78</v>
      </c>
      <c r="E77" s="20" t="n">
        <v>4</v>
      </c>
      <c r="F77" s="20" t="n">
        <v>16</v>
      </c>
      <c r="G77" s="20" t="n">
        <v>16</v>
      </c>
      <c r="H77" s="20" t="n">
        <v>3</v>
      </c>
      <c r="I77" s="6" t="n">
        <f aca="false">SUM(E77:H77)</f>
        <v>39</v>
      </c>
      <c r="J77" s="6" t="n">
        <f aca="false">E77+2*F77+3*G77+4*H77</f>
        <v>96</v>
      </c>
      <c r="K77" s="21" t="n">
        <f aca="false">J77/I77</f>
        <v>2.46153846153846</v>
      </c>
      <c r="L77" s="6" t="str">
        <f aca="false">IF(K77&gt;3,"Satisfactorio",IF(K77&gt;=2,"Aceptable","Bajo"))</f>
        <v>Aceptable</v>
      </c>
    </row>
    <row r="78" customFormat="false" ht="15" hidden="false" customHeight="false" outlineLevel="0" collapsed="false">
      <c r="A78" s="6" t="n">
        <v>15</v>
      </c>
      <c r="B78" s="6" t="s">
        <v>56</v>
      </c>
      <c r="C78" s="6" t="s">
        <v>59</v>
      </c>
      <c r="D78" s="6" t="s">
        <v>79</v>
      </c>
      <c r="E78" s="20" t="n">
        <v>3</v>
      </c>
      <c r="F78" s="20" t="n">
        <v>17</v>
      </c>
      <c r="G78" s="20" t="n">
        <v>19</v>
      </c>
      <c r="H78" s="20" t="n">
        <v>4</v>
      </c>
      <c r="I78" s="6" t="n">
        <f aca="false">SUM(E78:H78)</f>
        <v>43</v>
      </c>
      <c r="J78" s="6" t="n">
        <f aca="false">E78+2*F78+3*G78+4*H78</f>
        <v>110</v>
      </c>
      <c r="K78" s="21" t="n">
        <f aca="false">J78/I78</f>
        <v>2.55813953488372</v>
      </c>
      <c r="L78" s="6" t="str">
        <f aca="false">IF(K78&gt;3,"Satisfactorio",IF(K78&gt;=2,"Aceptable","Bajo"))</f>
        <v>Aceptable</v>
      </c>
    </row>
    <row r="79" customFormat="false" ht="15" hidden="false" customHeight="false" outlineLevel="0" collapsed="false">
      <c r="A79" s="6" t="n">
        <v>15</v>
      </c>
      <c r="B79" s="6" t="s">
        <v>56</v>
      </c>
      <c r="C79" s="6" t="s">
        <v>59</v>
      </c>
      <c r="D79" s="6" t="s">
        <v>80</v>
      </c>
      <c r="E79" s="20" t="n">
        <v>0</v>
      </c>
      <c r="F79" s="20" t="n">
        <v>3</v>
      </c>
      <c r="G79" s="20" t="n">
        <v>10</v>
      </c>
      <c r="H79" s="20" t="n">
        <v>6</v>
      </c>
      <c r="I79" s="6" t="n">
        <f aca="false">SUM(E79:H79)</f>
        <v>19</v>
      </c>
      <c r="J79" s="6" t="n">
        <f aca="false">E79+2*F79+3*G79+4*H79</f>
        <v>60</v>
      </c>
      <c r="K79" s="21" t="n">
        <f aca="false">J79/I79</f>
        <v>3.15789473684211</v>
      </c>
      <c r="L79" s="6" t="str">
        <f aca="false">IF(K79&gt;3,"Satisfactorio",IF(K79&gt;=2,"Aceptable","Bajo"))</f>
        <v>Satisfactorio</v>
      </c>
    </row>
    <row r="80" customFormat="false" ht="15" hidden="false" customHeight="false" outlineLevel="0" collapsed="false">
      <c r="A80" s="6" t="n">
        <v>15</v>
      </c>
      <c r="B80" s="6" t="s">
        <v>56</v>
      </c>
      <c r="C80" s="6" t="s">
        <v>59</v>
      </c>
      <c r="D80" s="6" t="s">
        <v>81</v>
      </c>
      <c r="E80" s="20" t="n">
        <v>0</v>
      </c>
      <c r="F80" s="20" t="n">
        <v>1</v>
      </c>
      <c r="G80" s="20" t="n">
        <v>2</v>
      </c>
      <c r="H80" s="20" t="n">
        <v>2</v>
      </c>
      <c r="I80" s="6" t="n">
        <f aca="false">SUM(E80:H80)</f>
        <v>5</v>
      </c>
      <c r="J80" s="6" t="n">
        <f aca="false">E80+2*F80+3*G80+4*H80</f>
        <v>16</v>
      </c>
      <c r="K80" s="21" t="n">
        <f aca="false">J80/I80</f>
        <v>3.2</v>
      </c>
      <c r="L80" s="6" t="str">
        <f aca="false">IF(K80&gt;3,"Satisfactorio",IF(K80&gt;=2,"Aceptable","Bajo"))</f>
        <v>Satisfactorio</v>
      </c>
    </row>
  </sheetData>
  <mergeCells count="4">
    <mergeCell ref="A1:L1"/>
    <mergeCell ref="A2:L2"/>
    <mergeCell ref="A3:L3"/>
    <mergeCell ref="A4:L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70"/>
    <col collapsed="false" customWidth="true" hidden="false" outlineLevel="0" max="7" min="4" style="0" width="20"/>
    <col collapsed="false" customWidth="true" hidden="false" outlineLevel="0" max="9" min="8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7.35" hidden="false" customHeight="false" outlineLevel="0" collapsed="false">
      <c r="A2" s="2" t="s">
        <v>94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3" t="s">
        <v>25</v>
      </c>
      <c r="B3" s="3"/>
      <c r="C3" s="3"/>
      <c r="D3" s="3"/>
      <c r="E3" s="3"/>
      <c r="F3" s="3"/>
      <c r="G3" s="3"/>
      <c r="H3" s="3"/>
    </row>
    <row r="4" customFormat="false" ht="15" hidden="false" customHeight="false" outlineLevel="0" collapsed="false">
      <c r="A4" s="4" t="s">
        <v>95</v>
      </c>
      <c r="B4" s="4"/>
      <c r="C4" s="4"/>
      <c r="D4" s="4"/>
      <c r="E4" s="4"/>
      <c r="F4" s="4"/>
      <c r="G4" s="4"/>
      <c r="H4" s="4"/>
    </row>
    <row r="6" customFormat="false" ht="15" hidden="false" customHeight="false" outlineLevel="0" collapsed="false">
      <c r="A6" s="8" t="s">
        <v>96</v>
      </c>
    </row>
    <row r="7" customFormat="false" ht="54.75" hidden="false" customHeight="true" outlineLevel="0" collapsed="false">
      <c r="A7" s="5" t="s">
        <v>37</v>
      </c>
      <c r="B7" s="5" t="s">
        <v>77</v>
      </c>
      <c r="C7" s="5" t="s">
        <v>78</v>
      </c>
      <c r="D7" s="5" t="s">
        <v>79</v>
      </c>
      <c r="E7" s="5" t="s">
        <v>80</v>
      </c>
      <c r="F7" s="5" t="s">
        <v>81</v>
      </c>
      <c r="G7" s="5" t="s">
        <v>97</v>
      </c>
      <c r="H7" s="5" t="s">
        <v>93</v>
      </c>
    </row>
    <row r="8" customFormat="false" ht="15" hidden="false" customHeight="false" outlineLevel="0" collapsed="false">
      <c r="A8" s="9" t="s">
        <v>40</v>
      </c>
      <c r="B8" s="14" t="n">
        <f aca="false">SUMIFS(Respuestas!$J$6:$J$80,Respuestas!$B$6:$B$80,$A8,Respuestas!$D$6:$D$80,B$7)/SUMIFS(Respuestas!$I$6:$I$80,Respuestas!$B$6:$B$80,$A8,Respuestas!$D$6:$D$80,B$7)</f>
        <v>3.12273361227336</v>
      </c>
      <c r="C8" s="14" t="n">
        <f aca="false">SUMIFS(Respuestas!$J$6:$J$80,Respuestas!$B$6:$B$80,$A8,Respuestas!$D$6:$D$80,C$7)/SUMIFS(Respuestas!$I$6:$I$80,Respuestas!$B$6:$B$80,$A8,Respuestas!$D$6:$D$80,C$7)</f>
        <v>3.34188034188034</v>
      </c>
      <c r="D8" s="14" t="n">
        <f aca="false">SUMIFS(Respuestas!$J$6:$J$80,Respuestas!$B$6:$B$80,$A8,Respuestas!$D$6:$D$80,D$7)/SUMIFS(Respuestas!$I$6:$I$80,Respuestas!$B$6:$B$80,$A8,Respuestas!$D$6:$D$80,D$7)</f>
        <v>3.27906976744186</v>
      </c>
      <c r="E8" s="14" t="n">
        <f aca="false">SUMIFS(Respuestas!$J$6:$J$80,Respuestas!$B$6:$B$80,$A8,Respuestas!$D$6:$D$80,E$7)/SUMIFS(Respuestas!$I$6:$I$80,Respuestas!$B$6:$B$80,$A8,Respuestas!$D$6:$D$80,E$7)</f>
        <v>3.45614035087719</v>
      </c>
      <c r="F8" s="14" t="n">
        <f aca="false">SUMIFS(Respuestas!$J$6:$J$80,Respuestas!$B$6:$B$80,$A8,Respuestas!$D$6:$D$80,F$7)/SUMIFS(Respuestas!$I$6:$I$80,Respuestas!$B$6:$B$80,$A8,Respuestas!$D$6:$D$80,F$7)</f>
        <v>3.46666666666667</v>
      </c>
      <c r="G8" s="14" t="n">
        <f aca="false">SUMIFS(Respuestas!$J$6:$J$80,Respuestas!$B$6:$B$80,$A8)/SUMIFS(Respuestas!$I$6:$I$80,Respuestas!$B$6:$B$80,$A8)</f>
        <v>3.19033816425121</v>
      </c>
      <c r="H8" s="9" t="str">
        <f aca="false">IF(G8&gt;3,"Satisfactorio",IF(G8&gt;=2,"Aceptable","Bajo"))</f>
        <v>Satisfactorio</v>
      </c>
    </row>
    <row r="9" customFormat="false" ht="15" hidden="false" customHeight="false" outlineLevel="0" collapsed="false">
      <c r="A9" s="9" t="s">
        <v>44</v>
      </c>
      <c r="B9" s="14" t="n">
        <f aca="false">SUMIFS(Respuestas!$J$6:$J$80,Respuestas!$B$6:$B$80,$A9,Respuestas!$D$6:$D$80,B$7)/SUMIFS(Respuestas!$I$6:$I$80,Respuestas!$B$6:$B$80,$A9,Respuestas!$D$6:$D$80,B$7)</f>
        <v>2.95258019525802</v>
      </c>
      <c r="C9" s="14" t="n">
        <f aca="false">SUMIFS(Respuestas!$J$6:$J$80,Respuestas!$B$6:$B$80,$A9,Respuestas!$D$6:$D$80,C$7)/SUMIFS(Respuestas!$I$6:$I$80,Respuestas!$B$6:$B$80,$A9,Respuestas!$D$6:$D$80,C$7)</f>
        <v>2.68376068376068</v>
      </c>
      <c r="D9" s="14" t="n">
        <f aca="false">SUMIFS(Respuestas!$J$6:$J$80,Respuestas!$B$6:$B$80,$A9,Respuestas!$D$6:$D$80,D$7)/SUMIFS(Respuestas!$I$6:$I$80,Respuestas!$B$6:$B$80,$A9,Respuestas!$D$6:$D$80,D$7)</f>
        <v>2.7906976744186</v>
      </c>
      <c r="E9" s="14" t="n">
        <f aca="false">SUMIFS(Respuestas!$J$6:$J$80,Respuestas!$B$6:$B$80,$A9,Respuestas!$D$6:$D$80,E$7)/SUMIFS(Respuestas!$I$6:$I$80,Respuestas!$B$6:$B$80,$A9,Respuestas!$D$6:$D$80,E$7)</f>
        <v>3.36842105263158</v>
      </c>
      <c r="F9" s="14" t="n">
        <f aca="false">SUMIFS(Respuestas!$J$6:$J$80,Respuestas!$B$6:$B$80,$A9,Respuestas!$D$6:$D$80,F$7)/SUMIFS(Respuestas!$I$6:$I$80,Respuestas!$B$6:$B$80,$A9,Respuestas!$D$6:$D$80,F$7)</f>
        <v>3.2</v>
      </c>
      <c r="G9" s="14" t="n">
        <f aca="false">SUMIFS(Respuestas!$J$6:$J$80,Respuestas!$B$6:$B$80,$A9)/SUMIFS(Respuestas!$I$6:$I$80,Respuestas!$B$6:$B$80,$A9)</f>
        <v>2.92850241545894</v>
      </c>
      <c r="H9" s="9" t="str">
        <f aca="false">IF(G9&gt;3,"Satisfactorio",IF(G9&gt;=2,"Aceptable","Bajo"))</f>
        <v>Aceptable</v>
      </c>
    </row>
    <row r="10" customFormat="false" ht="15" hidden="false" customHeight="false" outlineLevel="0" collapsed="false">
      <c r="A10" s="9" t="s">
        <v>48</v>
      </c>
      <c r="B10" s="14" t="n">
        <f aca="false">SUMIFS(Respuestas!$J$6:$J$80,Respuestas!$B$6:$B$80,$A10,Respuestas!$D$6:$D$80,B$7)/SUMIFS(Respuestas!$I$6:$I$80,Respuestas!$B$6:$B$80,$A10,Respuestas!$D$6:$D$80,B$7)</f>
        <v>2.40585774058577</v>
      </c>
      <c r="C10" s="14" t="n">
        <f aca="false">SUMIFS(Respuestas!$J$6:$J$80,Respuestas!$B$6:$B$80,$A10,Respuestas!$D$6:$D$80,C$7)/SUMIFS(Respuestas!$I$6:$I$80,Respuestas!$B$6:$B$80,$A10,Respuestas!$D$6:$D$80,C$7)</f>
        <v>2.57264957264957</v>
      </c>
      <c r="D10" s="14" t="n">
        <f aca="false">SUMIFS(Respuestas!$J$6:$J$80,Respuestas!$B$6:$B$80,$A10,Respuestas!$D$6:$D$80,D$7)/SUMIFS(Respuestas!$I$6:$I$80,Respuestas!$B$6:$B$80,$A10,Respuestas!$D$6:$D$80,D$7)</f>
        <v>2.48837209302326</v>
      </c>
      <c r="E10" s="14" t="n">
        <f aca="false">SUMIFS(Respuestas!$J$6:$J$80,Respuestas!$B$6:$B$80,$A10,Respuestas!$D$6:$D$80,E$7)/SUMIFS(Respuestas!$I$6:$I$80,Respuestas!$B$6:$B$80,$A10,Respuestas!$D$6:$D$80,E$7)</f>
        <v>2.87719298245614</v>
      </c>
      <c r="F10" s="14" t="n">
        <f aca="false">SUMIFS(Respuestas!$J$6:$J$80,Respuestas!$B$6:$B$80,$A10,Respuestas!$D$6:$D$80,F$7)/SUMIFS(Respuestas!$I$6:$I$80,Respuestas!$B$6:$B$80,$A10,Respuestas!$D$6:$D$80,F$7)</f>
        <v>3.2</v>
      </c>
      <c r="G10" s="14" t="n">
        <f aca="false">SUMIFS(Respuestas!$J$6:$J$80,Respuestas!$B$6:$B$80,$A10)/SUMIFS(Respuestas!$I$6:$I$80,Respuestas!$B$6:$B$80,$A10)</f>
        <v>2.47246376811594</v>
      </c>
      <c r="H10" s="9" t="str">
        <f aca="false">IF(G10&gt;3,"Satisfactorio",IF(G10&gt;=2,"Aceptable","Bajo"))</f>
        <v>Aceptable</v>
      </c>
    </row>
    <row r="11" customFormat="false" ht="15" hidden="false" customHeight="false" outlineLevel="0" collapsed="false">
      <c r="A11" s="9" t="s">
        <v>52</v>
      </c>
      <c r="B11" s="14" t="n">
        <f aca="false">SUMIFS(Respuestas!$J$6:$J$80,Respuestas!$B$6:$B$80,$A11,Respuestas!$D$6:$D$80,B$7)/SUMIFS(Respuestas!$I$6:$I$80,Respuestas!$B$6:$B$80,$A11,Respuestas!$D$6:$D$80,B$7)</f>
        <v>2.59414225941423</v>
      </c>
      <c r="C11" s="14" t="n">
        <f aca="false">SUMIFS(Respuestas!$J$6:$J$80,Respuestas!$B$6:$B$80,$A11,Respuestas!$D$6:$D$80,C$7)/SUMIFS(Respuestas!$I$6:$I$80,Respuestas!$B$6:$B$80,$A11,Respuestas!$D$6:$D$80,C$7)</f>
        <v>2.76923076923077</v>
      </c>
      <c r="D11" s="14" t="n">
        <f aca="false">SUMIFS(Respuestas!$J$6:$J$80,Respuestas!$B$6:$B$80,$A11,Respuestas!$D$6:$D$80,D$7)/SUMIFS(Respuestas!$I$6:$I$80,Respuestas!$B$6:$B$80,$A11,Respuestas!$D$6:$D$80,D$7)</f>
        <v>2.32558139534884</v>
      </c>
      <c r="E11" s="14" t="n">
        <f aca="false">SUMIFS(Respuestas!$J$6:$J$80,Respuestas!$B$6:$B$80,$A11,Respuestas!$D$6:$D$80,E$7)/SUMIFS(Respuestas!$I$6:$I$80,Respuestas!$B$6:$B$80,$A11,Respuestas!$D$6:$D$80,E$7)</f>
        <v>2.94736842105263</v>
      </c>
      <c r="F11" s="14" t="n">
        <f aca="false">SUMIFS(Respuestas!$J$6:$J$80,Respuestas!$B$6:$B$80,$A11,Respuestas!$D$6:$D$80,F$7)/SUMIFS(Respuestas!$I$6:$I$80,Respuestas!$B$6:$B$80,$A11,Respuestas!$D$6:$D$80,F$7)</f>
        <v>3.13333333333333</v>
      </c>
      <c r="G11" s="14" t="n">
        <f aca="false">SUMIFS(Respuestas!$J$6:$J$80,Respuestas!$B$6:$B$80,$A11)/SUMIFS(Respuestas!$I$6:$I$80,Respuestas!$B$6:$B$80,$A11)</f>
        <v>2.60772946859903</v>
      </c>
      <c r="H11" s="9" t="str">
        <f aca="false">IF(G11&gt;3,"Satisfactorio",IF(G11&gt;=2,"Aceptable","Bajo"))</f>
        <v>Aceptable</v>
      </c>
    </row>
    <row r="12" customFormat="false" ht="15" hidden="false" customHeight="false" outlineLevel="0" collapsed="false">
      <c r="A12" s="9" t="s">
        <v>56</v>
      </c>
      <c r="B12" s="14" t="n">
        <f aca="false">SUMIFS(Respuestas!$J$6:$J$80,Respuestas!$B$6:$B$80,$A12,Respuestas!$D$6:$D$80,B$7)/SUMIFS(Respuestas!$I$6:$I$80,Respuestas!$B$6:$B$80,$A12,Respuestas!$D$6:$D$80,B$7)</f>
        <v>2.86750348675035</v>
      </c>
      <c r="C12" s="14" t="n">
        <f aca="false">SUMIFS(Respuestas!$J$6:$J$80,Respuestas!$B$6:$B$80,$A12,Respuestas!$D$6:$D$80,C$7)/SUMIFS(Respuestas!$I$6:$I$80,Respuestas!$B$6:$B$80,$A12,Respuestas!$D$6:$D$80,C$7)</f>
        <v>2.57264957264957</v>
      </c>
      <c r="D12" s="14" t="n">
        <f aca="false">SUMIFS(Respuestas!$J$6:$J$80,Respuestas!$B$6:$B$80,$A12,Respuestas!$D$6:$D$80,D$7)/SUMIFS(Respuestas!$I$6:$I$80,Respuestas!$B$6:$B$80,$A12,Respuestas!$D$6:$D$80,D$7)</f>
        <v>2.67441860465116</v>
      </c>
      <c r="E12" s="14" t="n">
        <f aca="false">SUMIFS(Respuestas!$J$6:$J$80,Respuestas!$B$6:$B$80,$A12,Respuestas!$D$6:$D$80,E$7)/SUMIFS(Respuestas!$I$6:$I$80,Respuestas!$B$6:$B$80,$A12,Respuestas!$D$6:$D$80,E$7)</f>
        <v>3.2280701754386</v>
      </c>
      <c r="F12" s="14" t="n">
        <f aca="false">SUMIFS(Respuestas!$J$6:$J$80,Respuestas!$B$6:$B$80,$A12,Respuestas!$D$6:$D$80,F$7)/SUMIFS(Respuestas!$I$6:$I$80,Respuestas!$B$6:$B$80,$A12,Respuestas!$D$6:$D$80,F$7)</f>
        <v>3.2</v>
      </c>
      <c r="G12" s="14" t="n">
        <f aca="false">SUMIFS(Respuestas!$J$6:$J$80,Respuestas!$B$6:$B$80,$A12)/SUMIFS(Respuestas!$I$6:$I$80,Respuestas!$B$6:$B$80,$A12)</f>
        <v>2.83478260869565</v>
      </c>
      <c r="H12" s="9" t="str">
        <f aca="false">IF(G12&gt;3,"Satisfactorio",IF(G12&gt;=2,"Aceptable","Bajo"))</f>
        <v>Aceptable</v>
      </c>
    </row>
    <row r="13" customFormat="false" ht="15" hidden="false" customHeight="false" outlineLevel="0" collapsed="false">
      <c r="A13" s="17" t="s">
        <v>98</v>
      </c>
      <c r="B13" s="22" t="n">
        <f aca="false">SUMIFS(Respuestas!$J$6:$J$80,Respuestas!$D$6:$D$80,B$7)/SUMIFS(Respuestas!$I$6:$I$80,Respuestas!$D$6:$D$80,B$7)</f>
        <v>2.78856345885635</v>
      </c>
      <c r="C13" s="22" t="n">
        <f aca="false">SUMIFS(Respuestas!$J$6:$J$80,Respuestas!$D$6:$D$80,C$7)/SUMIFS(Respuestas!$I$6:$I$80,Respuestas!$D$6:$D$80,C$7)</f>
        <v>2.78803418803419</v>
      </c>
      <c r="D13" s="22" t="n">
        <f aca="false">SUMIFS(Respuestas!$J$6:$J$80,Respuestas!$D$6:$D$80,D$7)/SUMIFS(Respuestas!$I$6:$I$80,Respuestas!$D$6:$D$80,D$7)</f>
        <v>2.71162790697674</v>
      </c>
      <c r="E13" s="22" t="n">
        <f aca="false">SUMIFS(Respuestas!$J$6:$J$80,Respuestas!$D$6:$D$80,E$7)/SUMIFS(Respuestas!$I$6:$I$80,Respuestas!$D$6:$D$80,E$7)</f>
        <v>3.17543859649123</v>
      </c>
      <c r="F13" s="22" t="n">
        <f aca="false">SUMIFS(Respuestas!$J$6:$J$80,Respuestas!$D$6:$D$80,F$7)/SUMIFS(Respuestas!$I$6:$I$80,Respuestas!$D$6:$D$80,F$7)</f>
        <v>3.24</v>
      </c>
      <c r="G13" s="22" t="n">
        <f aca="false">SUM(Respuestas!$J$6:$J$80)/SUM(Respuestas!$I$6:$I$80)</f>
        <v>2.80676328502415</v>
      </c>
      <c r="H13" s="17" t="str">
        <f aca="false">IF(G13&gt;3,"Satisfactorio",IF(G13&gt;=2,"Aceptable","Bajo"))</f>
        <v>Aceptable</v>
      </c>
    </row>
    <row r="14" customFormat="false" ht="15" hidden="false" customHeight="false" outlineLevel="0" collapsed="false">
      <c r="A14" s="9" t="s">
        <v>99</v>
      </c>
      <c r="B14" s="9" t="n">
        <f aca="false">SUMIFS(Respuestas!$I$6:$I$80,Respuestas!$A$6:$A$80,1,Respuestas!$D$6:$D$80,B$7)</f>
        <v>239</v>
      </c>
      <c r="C14" s="9" t="n">
        <f aca="false">SUMIFS(Respuestas!$I$6:$I$80,Respuestas!$A$6:$A$80,1,Respuestas!$D$6:$D$80,C$7)</f>
        <v>39</v>
      </c>
      <c r="D14" s="9" t="n">
        <f aca="false">SUMIFS(Respuestas!$I$6:$I$80,Respuestas!$A$6:$A$80,1,Respuestas!$D$6:$D$80,D$7)</f>
        <v>43</v>
      </c>
      <c r="E14" s="9" t="n">
        <f aca="false">SUMIFS(Respuestas!$I$6:$I$80,Respuestas!$A$6:$A$80,1,Respuestas!$D$6:$D$80,E$7)</f>
        <v>19</v>
      </c>
      <c r="F14" s="9" t="n">
        <f aca="false">SUMIFS(Respuestas!$I$6:$I$80,Respuestas!$A$6:$A$80,1,Respuestas!$D$6:$D$80,F$7)</f>
        <v>5</v>
      </c>
      <c r="G14" s="9" t="n">
        <f aca="false">SUM(B14:F14)</f>
        <v>345</v>
      </c>
    </row>
    <row r="15" customFormat="false" ht="15" hidden="false" customHeight="false" outlineLevel="0" collapsed="false">
      <c r="A15" s="9" t="s">
        <v>100</v>
      </c>
      <c r="B15" s="23" t="n">
        <f aca="false">Muestra!D15</f>
        <v>239</v>
      </c>
      <c r="C15" s="23" t="n">
        <f aca="false">Muestra!D16</f>
        <v>39</v>
      </c>
      <c r="D15" s="23" t="n">
        <f aca="false">Muestra!D17</f>
        <v>43</v>
      </c>
      <c r="E15" s="23" t="n">
        <f aca="false">Muestra!D18</f>
        <v>19</v>
      </c>
      <c r="F15" s="23" t="n">
        <f aca="false">Muestra!D19</f>
        <v>5</v>
      </c>
      <c r="G15" s="9" t="n">
        <f aca="false">SUM(B15:F15)</f>
        <v>345</v>
      </c>
    </row>
    <row r="16" customFormat="false" ht="15" hidden="false" customHeight="false" outlineLevel="0" collapsed="false">
      <c r="A16" s="9" t="s">
        <v>101</v>
      </c>
      <c r="B16" s="24" t="n">
        <f aca="false">B14/B15</f>
        <v>1</v>
      </c>
      <c r="C16" s="24" t="n">
        <f aca="false">C14/C15</f>
        <v>1</v>
      </c>
      <c r="D16" s="24" t="n">
        <f aca="false">D14/D15</f>
        <v>1</v>
      </c>
      <c r="E16" s="24" t="n">
        <f aca="false">E14/E15</f>
        <v>1</v>
      </c>
      <c r="F16" s="24" t="n">
        <f aca="false">F14/F15</f>
        <v>1</v>
      </c>
      <c r="G16" s="24" t="n">
        <f aca="false">G14/G15</f>
        <v>1</v>
      </c>
    </row>
    <row r="19" customFormat="false" ht="15" hidden="false" customHeight="false" outlineLevel="0" collapsed="false">
      <c r="A19" s="8" t="s">
        <v>102</v>
      </c>
    </row>
    <row r="20" customFormat="false" ht="15" hidden="false" customHeight="false" outlineLevel="0" collapsed="false">
      <c r="A20" s="5" t="s">
        <v>28</v>
      </c>
      <c r="B20" s="5" t="s">
        <v>37</v>
      </c>
      <c r="C20" s="5" t="s">
        <v>38</v>
      </c>
      <c r="D20" s="5" t="s">
        <v>86</v>
      </c>
      <c r="E20" s="5" t="s">
        <v>87</v>
      </c>
      <c r="F20" s="5" t="s">
        <v>88</v>
      </c>
      <c r="G20" s="5" t="s">
        <v>89</v>
      </c>
      <c r="H20" s="5" t="s">
        <v>92</v>
      </c>
      <c r="I20" s="5" t="s">
        <v>93</v>
      </c>
    </row>
    <row r="21" customFormat="false" ht="23.85" hidden="false" customHeight="false" outlineLevel="0" collapsed="false">
      <c r="A21" s="25" t="n">
        <v>1</v>
      </c>
      <c r="B21" s="25" t="str">
        <f aca="false">INDEX(Respuestas!$B$6:$B$80,MATCH(A21,Respuestas!$A$6:$A$80,0))</f>
        <v>Conciencia</v>
      </c>
      <c r="C21" s="6" t="str">
        <f aca="false">INDEX(Respuestas!$C$6:$C$80,MATCH(A21,Respuestas!$A$6:$A$80,0))</f>
        <v>Comprendo por qué la entidad necesita centralizar las solicitudes de intervención en un solo sistema con mapa</v>
      </c>
      <c r="D21" s="25" t="n">
        <f aca="false">SUMIFS(Respuestas!$E$6:$E$80,Respuestas!$A$6:$A$80,$A21)</f>
        <v>2</v>
      </c>
      <c r="E21" s="25" t="n">
        <f aca="false">SUMIFS(Respuestas!$F$6:$F$80,Respuestas!$A$6:$A$80,$A21)</f>
        <v>40</v>
      </c>
      <c r="F21" s="25" t="n">
        <f aca="false">SUMIFS(Respuestas!$G$6:$G$80,Respuestas!$A$6:$A$80,$A21)</f>
        <v>161</v>
      </c>
      <c r="G21" s="25" t="n">
        <f aca="false">SUMIFS(Respuestas!$H$6:$H$80,Respuestas!$A$6:$A$80,$A21)</f>
        <v>142</v>
      </c>
      <c r="H21" s="26" t="n">
        <f aca="false">(D21+2*E21+3*F21+4*G21)/SUM(D21:G21)</f>
        <v>3.28405797101449</v>
      </c>
      <c r="I21" s="25" t="str">
        <f aca="false">IF(H21&gt;3,"Satisfactorio",IF(H21&gt;=2,"Aceptable","Bajo"))</f>
        <v>Satisfactorio</v>
      </c>
    </row>
    <row r="22" customFormat="false" ht="15" hidden="false" customHeight="false" outlineLevel="0" collapsed="false">
      <c r="A22" s="25" t="n">
        <v>2</v>
      </c>
      <c r="B22" s="25" t="str">
        <f aca="false">INDEX(Respuestas!$B$6:$B$80,MATCH(A22,Respuestas!$A$6:$A$80,0))</f>
        <v>Conciencia</v>
      </c>
      <c r="C22" s="6" t="str">
        <f aca="false">INDEX(Respuestas!$C$6:$C$80,MATCH(A22,Respuestas!$A$6:$A$80,0))</f>
        <v>Identifico los problemas de trabajar con correos, PDF y hojas de cálculo dispersos</v>
      </c>
      <c r="D22" s="25" t="n">
        <f aca="false">SUMIFS(Respuestas!$E$6:$E$80,Respuestas!$A$6:$A$80,$A22)</f>
        <v>3</v>
      </c>
      <c r="E22" s="25" t="n">
        <f aca="false">SUMIFS(Respuestas!$F$6:$F$80,Respuestas!$A$6:$A$80,$A22)</f>
        <v>50</v>
      </c>
      <c r="F22" s="25" t="n">
        <f aca="false">SUMIFS(Respuestas!$G$6:$G$80,Respuestas!$A$6:$A$80,$A22)</f>
        <v>169</v>
      </c>
      <c r="G22" s="25" t="n">
        <f aca="false">SUMIFS(Respuestas!$H$6:$H$80,Respuestas!$A$6:$A$80,$A22)</f>
        <v>123</v>
      </c>
      <c r="H22" s="26" t="n">
        <f aca="false">(D22+2*E22+3*F22+4*G22)/SUM(D22:G22)</f>
        <v>3.19420289855072</v>
      </c>
      <c r="I22" s="25" t="str">
        <f aca="false">IF(H22&gt;3,"Satisfactorio",IF(H22&gt;=2,"Aceptable","Bajo"))</f>
        <v>Satisfactorio</v>
      </c>
    </row>
    <row r="23" customFormat="false" ht="15" hidden="false" customHeight="false" outlineLevel="0" collapsed="false">
      <c r="A23" s="25" t="n">
        <v>3</v>
      </c>
      <c r="B23" s="25" t="str">
        <f aca="false">INDEX(Respuestas!$B$6:$B$80,MATCH(A23,Respuestas!$A$6:$A$80,0))</f>
        <v>Conciencia</v>
      </c>
      <c r="C23" s="6" t="str">
        <f aca="false">INDEX(Respuestas!$C$6:$C$80,MATCH(A23,Respuestas!$A$6:$A$80,0))</f>
        <v>Conozco los beneficios que el sistema tendrá para mi rol</v>
      </c>
      <c r="D23" s="25" t="n">
        <f aca="false">SUMIFS(Respuestas!$E$6:$E$80,Respuestas!$A$6:$A$80,$A23)</f>
        <v>5</v>
      </c>
      <c r="E23" s="25" t="n">
        <f aca="false">SUMIFS(Respuestas!$F$6:$F$80,Respuestas!$A$6:$A$80,$A23)</f>
        <v>63</v>
      </c>
      <c r="F23" s="25" t="n">
        <f aca="false">SUMIFS(Respuestas!$G$6:$G$80,Respuestas!$A$6:$A$80,$A23)</f>
        <v>172</v>
      </c>
      <c r="G23" s="25" t="n">
        <f aca="false">SUMIFS(Respuestas!$H$6:$H$80,Respuestas!$A$6:$A$80,$A23)</f>
        <v>105</v>
      </c>
      <c r="H23" s="26" t="n">
        <f aca="false">(D23+2*E23+3*F23+4*G23)/SUM(D23:G23)</f>
        <v>3.09275362318841</v>
      </c>
      <c r="I23" s="25" t="str">
        <f aca="false">IF(H23&gt;3,"Satisfactorio",IF(H23&gt;=2,"Aceptable","Bajo"))</f>
        <v>Satisfactorio</v>
      </c>
    </row>
    <row r="24" customFormat="false" ht="15" hidden="false" customHeight="false" outlineLevel="0" collapsed="false">
      <c r="A24" s="25" t="n">
        <v>4</v>
      </c>
      <c r="B24" s="25" t="str">
        <f aca="false">INDEX(Respuestas!$B$6:$B$80,MATCH(A24,Respuestas!$A$6:$A$80,0))</f>
        <v>Compromiso</v>
      </c>
      <c r="C24" s="6" t="str">
        <f aca="false">INDEX(Respuestas!$C$6:$C$80,MATCH(A24,Respuestas!$A$6:$A$80,0))</f>
        <v>Estoy dispuesto a radicar, revisar o registrar visitas únicamente en el sistema</v>
      </c>
      <c r="D24" s="25" t="n">
        <f aca="false">SUMIFS(Respuestas!$E$6:$E$80,Respuestas!$A$6:$A$80,$A24)</f>
        <v>6</v>
      </c>
      <c r="E24" s="25" t="n">
        <f aca="false">SUMIFS(Respuestas!$F$6:$F$80,Respuestas!$A$6:$A$80,$A24)</f>
        <v>71</v>
      </c>
      <c r="F24" s="25" t="n">
        <f aca="false">SUMIFS(Respuestas!$G$6:$G$80,Respuestas!$A$6:$A$80,$A24)</f>
        <v>173</v>
      </c>
      <c r="G24" s="25" t="n">
        <f aca="false">SUMIFS(Respuestas!$H$6:$H$80,Respuestas!$A$6:$A$80,$A24)</f>
        <v>95</v>
      </c>
      <c r="H24" s="26" t="n">
        <f aca="false">(D24+2*E24+3*F24+4*G24)/SUM(D24:G24)</f>
        <v>3.03478260869565</v>
      </c>
      <c r="I24" s="25" t="str">
        <f aca="false">IF(H24&gt;3,"Satisfactorio",IF(H24&gt;=2,"Aceptable","Bajo"))</f>
        <v>Satisfactorio</v>
      </c>
    </row>
    <row r="25" customFormat="false" ht="15" hidden="false" customHeight="false" outlineLevel="0" collapsed="false">
      <c r="A25" s="25" t="n">
        <v>5</v>
      </c>
      <c r="B25" s="25" t="str">
        <f aca="false">INDEX(Respuestas!$B$6:$B$80,MATCH(A25,Respuestas!$A$6:$A$80,0))</f>
        <v>Compromiso</v>
      </c>
      <c r="C25" s="6" t="str">
        <f aca="false">INDEX(Respuestas!$C$6:$C$80,MATCH(A25,Respuestas!$A$6:$A$80,0))</f>
        <v>Considero que el sistema mejorará mi trabajo o mi trámite</v>
      </c>
      <c r="D25" s="25" t="n">
        <f aca="false">SUMIFS(Respuestas!$E$6:$E$80,Respuestas!$A$6:$A$80,$A25)</f>
        <v>9</v>
      </c>
      <c r="E25" s="25" t="n">
        <f aca="false">SUMIFS(Respuestas!$F$6:$F$80,Respuestas!$A$6:$A$80,$A25)</f>
        <v>86</v>
      </c>
      <c r="F25" s="25" t="n">
        <f aca="false">SUMIFS(Respuestas!$G$6:$G$80,Respuestas!$A$6:$A$80,$A25)</f>
        <v>172</v>
      </c>
      <c r="G25" s="25" t="n">
        <f aca="false">SUMIFS(Respuestas!$H$6:$H$80,Respuestas!$A$6:$A$80,$A25)</f>
        <v>78</v>
      </c>
      <c r="H25" s="26" t="n">
        <f aca="false">(D25+2*E25+3*F25+4*G25)/SUM(D25:G25)</f>
        <v>2.92463768115942</v>
      </c>
      <c r="I25" s="25" t="str">
        <f aca="false">IF(H25&gt;3,"Satisfactorio",IF(H25&gt;=2,"Aceptable","Bajo"))</f>
        <v>Aceptable</v>
      </c>
    </row>
    <row r="26" customFormat="false" ht="15" hidden="false" customHeight="false" outlineLevel="0" collapsed="false">
      <c r="A26" s="25" t="n">
        <v>6</v>
      </c>
      <c r="B26" s="25" t="str">
        <f aca="false">INDEX(Respuestas!$B$6:$B$80,MATCH(A26,Respuestas!$A$6:$A$80,0))</f>
        <v>Compromiso</v>
      </c>
      <c r="C26" s="6" t="str">
        <f aca="false">INDEX(Respuestas!$C$6:$C$80,MATCH(A26,Respuestas!$A$6:$A$80,0))</f>
        <v>Estoy dispuesto a participar en las capacitaciones y actividades que se programen</v>
      </c>
      <c r="D26" s="25" t="n">
        <f aca="false">SUMIFS(Respuestas!$E$6:$E$80,Respuestas!$A$6:$A$80,$A26)</f>
        <v>13</v>
      </c>
      <c r="E26" s="25" t="n">
        <f aca="false">SUMIFS(Respuestas!$F$6:$F$80,Respuestas!$A$6:$A$80,$A26)</f>
        <v>99</v>
      </c>
      <c r="F26" s="25" t="n">
        <f aca="false">SUMIFS(Respuestas!$G$6:$G$80,Respuestas!$A$6:$A$80,$A26)</f>
        <v>168</v>
      </c>
      <c r="G26" s="25" t="n">
        <f aca="false">SUMIFS(Respuestas!$H$6:$H$80,Respuestas!$A$6:$A$80,$A26)</f>
        <v>65</v>
      </c>
      <c r="H26" s="26" t="n">
        <f aca="false">(D26+2*E26+3*F26+4*G26)/SUM(D26:G26)</f>
        <v>2.82608695652174</v>
      </c>
      <c r="I26" s="25" t="str">
        <f aca="false">IF(H26&gt;3,"Satisfactorio",IF(H26&gt;=2,"Aceptable","Bajo"))</f>
        <v>Aceptable</v>
      </c>
    </row>
    <row r="27" customFormat="false" ht="15" hidden="false" customHeight="false" outlineLevel="0" collapsed="false">
      <c r="A27" s="25" t="n">
        <v>7</v>
      </c>
      <c r="B27" s="25" t="str">
        <f aca="false">INDEX(Respuestas!$B$6:$B$80,MATCH(A27,Respuestas!$A$6:$A$80,0))</f>
        <v>Conocimiento</v>
      </c>
      <c r="C27" s="6" t="str">
        <f aca="false">INDEX(Respuestas!$C$6:$C$80,MATCH(A27,Respuestas!$A$6:$A$80,0))</f>
        <v>Tengo experiencia previa con sistemas de información geográfica y mapas web</v>
      </c>
      <c r="D27" s="25" t="n">
        <f aca="false">SUMIFS(Respuestas!$E$6:$E$80,Respuestas!$A$6:$A$80,$A27)</f>
        <v>25</v>
      </c>
      <c r="E27" s="25" t="n">
        <f aca="false">SUMIFS(Respuestas!$F$6:$F$80,Respuestas!$A$6:$A$80,$A27)</f>
        <v>131</v>
      </c>
      <c r="F27" s="25" t="n">
        <f aca="false">SUMIFS(Respuestas!$G$6:$G$80,Respuestas!$A$6:$A$80,$A27)</f>
        <v>150</v>
      </c>
      <c r="G27" s="25" t="n">
        <f aca="false">SUMIFS(Respuestas!$H$6:$H$80,Respuestas!$A$6:$A$80,$A27)</f>
        <v>39</v>
      </c>
      <c r="H27" s="26" t="n">
        <f aca="false">(D27+2*E27+3*F27+4*G27)/SUM(D27:G27)</f>
        <v>2.58840579710145</v>
      </c>
      <c r="I27" s="25" t="str">
        <f aca="false">IF(H27&gt;3,"Satisfactorio",IF(H27&gt;=2,"Aceptable","Bajo"))</f>
        <v>Aceptable</v>
      </c>
    </row>
    <row r="28" customFormat="false" ht="15" hidden="false" customHeight="false" outlineLevel="0" collapsed="false">
      <c r="A28" s="25" t="n">
        <v>8</v>
      </c>
      <c r="B28" s="25" t="str">
        <f aca="false">INDEX(Respuestas!$B$6:$B$80,MATCH(A28,Respuestas!$A$6:$A$80,0))</f>
        <v>Conocimiento</v>
      </c>
      <c r="C28" s="6" t="str">
        <f aca="false">INDEX(Respuestas!$C$6:$C$80,MATCH(A28,Respuestas!$A$6:$A$80,0))</f>
        <v>Sé qué datos y documentos debe tener una solicitud de intervención</v>
      </c>
      <c r="D28" s="25" t="n">
        <f aca="false">SUMIFS(Respuestas!$E$6:$E$80,Respuestas!$A$6:$A$80,$A28)</f>
        <v>34</v>
      </c>
      <c r="E28" s="25" t="n">
        <f aca="false">SUMIFS(Respuestas!$F$6:$F$80,Respuestas!$A$6:$A$80,$A28)</f>
        <v>145</v>
      </c>
      <c r="F28" s="25" t="n">
        <f aca="false">SUMIFS(Respuestas!$G$6:$G$80,Respuestas!$A$6:$A$80,$A28)</f>
        <v>137</v>
      </c>
      <c r="G28" s="25" t="n">
        <f aca="false">SUMIFS(Respuestas!$H$6:$H$80,Respuestas!$A$6:$A$80,$A28)</f>
        <v>29</v>
      </c>
      <c r="H28" s="26" t="n">
        <f aca="false">(D28+2*E28+3*F28+4*G28)/SUM(D28:G28)</f>
        <v>2.46666666666667</v>
      </c>
      <c r="I28" s="25" t="str">
        <f aca="false">IF(H28&gt;3,"Satisfactorio",IF(H28&gt;=2,"Aceptable","Bajo"))</f>
        <v>Aceptable</v>
      </c>
    </row>
    <row r="29" customFormat="false" ht="15" hidden="false" customHeight="false" outlineLevel="0" collapsed="false">
      <c r="A29" s="25" t="n">
        <v>9</v>
      </c>
      <c r="B29" s="25" t="str">
        <f aca="false">INDEX(Respuestas!$B$6:$B$80,MATCH(A29,Respuestas!$A$6:$A$80,0))</f>
        <v>Conocimiento</v>
      </c>
      <c r="C29" s="6" t="str">
        <f aca="false">INDEX(Respuestas!$C$6:$C$80,MATCH(A29,Respuestas!$A$6:$A$80,0))</f>
        <v>Conozco cómo se hace el seguimiento de los estados de una solicitud</v>
      </c>
      <c r="D29" s="25" t="n">
        <f aca="false">SUMIFS(Respuestas!$E$6:$E$80,Respuestas!$A$6:$A$80,$A29)</f>
        <v>44</v>
      </c>
      <c r="E29" s="25" t="n">
        <f aca="false">SUMIFS(Respuestas!$F$6:$F$80,Respuestas!$A$6:$A$80,$A29)</f>
        <v>155</v>
      </c>
      <c r="F29" s="25" t="n">
        <f aca="false">SUMIFS(Respuestas!$G$6:$G$80,Respuestas!$A$6:$A$80,$A29)</f>
        <v>123</v>
      </c>
      <c r="G29" s="25" t="n">
        <f aca="false">SUMIFS(Respuestas!$H$6:$H$80,Respuestas!$A$6:$A$80,$A29)</f>
        <v>23</v>
      </c>
      <c r="H29" s="26" t="n">
        <f aca="false">(D29+2*E29+3*F29+4*G29)/SUM(D29:G29)</f>
        <v>2.36231884057971</v>
      </c>
      <c r="I29" s="25" t="str">
        <f aca="false">IF(H29&gt;3,"Satisfactorio",IF(H29&gt;=2,"Aceptable","Bajo"))</f>
        <v>Aceptable</v>
      </c>
    </row>
    <row r="30" customFormat="false" ht="23.85" hidden="false" customHeight="false" outlineLevel="0" collapsed="false">
      <c r="A30" s="25" t="n">
        <v>10</v>
      </c>
      <c r="B30" s="25" t="str">
        <f aca="false">INDEX(Respuestas!$B$6:$B$80,MATCH(A30,Respuestas!$A$6:$A$80,0))</f>
        <v>Capacidad</v>
      </c>
      <c r="C30" s="6" t="str">
        <f aca="false">INDEX(Respuestas!$C$6:$C$80,MATCH(A30,Respuestas!$A$6:$A$80,0))</f>
        <v>Me siento en capacidad de usar el sistema desde un celular o un computador sin apoyo</v>
      </c>
      <c r="D30" s="25" t="n">
        <f aca="false">SUMIFS(Respuestas!$E$6:$E$80,Respuestas!$A$6:$A$80,$A30)</f>
        <v>17</v>
      </c>
      <c r="E30" s="25" t="n">
        <f aca="false">SUMIFS(Respuestas!$F$6:$F$80,Respuestas!$A$6:$A$80,$A30)</f>
        <v>114</v>
      </c>
      <c r="F30" s="25" t="n">
        <f aca="false">SUMIFS(Respuestas!$G$6:$G$80,Respuestas!$A$6:$A$80,$A30)</f>
        <v>162</v>
      </c>
      <c r="G30" s="25" t="n">
        <f aca="false">SUMIFS(Respuestas!$H$6:$H$80,Respuestas!$A$6:$A$80,$A30)</f>
        <v>52</v>
      </c>
      <c r="H30" s="26" t="n">
        <f aca="false">(D30+2*E30+3*F30+4*G30)/SUM(D30:G30)</f>
        <v>2.72173913043478</v>
      </c>
      <c r="I30" s="25" t="str">
        <f aca="false">IF(H30&gt;3,"Satisfactorio",IF(H30&gt;=2,"Aceptable","Bajo"))</f>
        <v>Aceptable</v>
      </c>
    </row>
    <row r="31" customFormat="false" ht="15" hidden="false" customHeight="false" outlineLevel="0" collapsed="false">
      <c r="A31" s="25" t="n">
        <v>11</v>
      </c>
      <c r="B31" s="25" t="str">
        <f aca="false">INDEX(Respuestas!$B$6:$B$80,MATCH(A31,Respuestas!$A$6:$A$80,0))</f>
        <v>Capacidad</v>
      </c>
      <c r="C31" s="6" t="str">
        <f aca="false">INDEX(Respuestas!$C$6:$C$80,MATCH(A31,Respuestas!$A$6:$A$80,0))</f>
        <v>Cuento con el tiempo y los equipos necesarios para usarlo en mi jornada</v>
      </c>
      <c r="D31" s="25" t="n">
        <f aca="false">SUMIFS(Respuestas!$E$6:$E$80,Respuestas!$A$6:$A$80,$A31)</f>
        <v>24</v>
      </c>
      <c r="E31" s="25" t="n">
        <f aca="false">SUMIFS(Respuestas!$F$6:$F$80,Respuestas!$A$6:$A$80,$A31)</f>
        <v>129</v>
      </c>
      <c r="F31" s="25" t="n">
        <f aca="false">SUMIFS(Respuestas!$G$6:$G$80,Respuestas!$A$6:$A$80,$A31)</f>
        <v>152</v>
      </c>
      <c r="G31" s="25" t="n">
        <f aca="false">SUMIFS(Respuestas!$H$6:$H$80,Respuestas!$A$6:$A$80,$A31)</f>
        <v>40</v>
      </c>
      <c r="H31" s="26" t="n">
        <f aca="false">(D31+2*E31+3*F31+4*G31)/SUM(D31:G31)</f>
        <v>2.60289855072464</v>
      </c>
      <c r="I31" s="25" t="str">
        <f aca="false">IF(H31&gt;3,"Satisfactorio",IF(H31&gt;=2,"Aceptable","Bajo"))</f>
        <v>Aceptable</v>
      </c>
    </row>
    <row r="32" customFormat="false" ht="15" hidden="false" customHeight="false" outlineLevel="0" collapsed="false">
      <c r="A32" s="25" t="n">
        <v>12</v>
      </c>
      <c r="B32" s="25" t="str">
        <f aca="false">INDEX(Respuestas!$B$6:$B$80,MATCH(A32,Respuestas!$A$6:$A$80,0))</f>
        <v>Capacidad</v>
      </c>
      <c r="C32" s="6" t="str">
        <f aca="false">INDEX(Respuestas!$C$6:$C$80,MATCH(A32,Respuestas!$A$6:$A$80,0))</f>
        <v>Podría trabajar con el sistema aunque la conectividad sea limitada</v>
      </c>
      <c r="D32" s="25" t="n">
        <f aca="false">SUMIFS(Respuestas!$E$6:$E$80,Respuestas!$A$6:$A$80,$A32)</f>
        <v>32</v>
      </c>
      <c r="E32" s="25" t="n">
        <f aca="false">SUMIFS(Respuestas!$F$6:$F$80,Respuestas!$A$6:$A$80,$A32)</f>
        <v>141</v>
      </c>
      <c r="F32" s="25" t="n">
        <f aca="false">SUMIFS(Respuestas!$G$6:$G$80,Respuestas!$A$6:$A$80,$A32)</f>
        <v>140</v>
      </c>
      <c r="G32" s="25" t="n">
        <f aca="false">SUMIFS(Respuestas!$H$6:$H$80,Respuestas!$A$6:$A$80,$A32)</f>
        <v>32</v>
      </c>
      <c r="H32" s="26" t="n">
        <f aca="false">(D32+2*E32+3*F32+4*G32)/SUM(D32:G32)</f>
        <v>2.49855072463768</v>
      </c>
      <c r="I32" s="25" t="str">
        <f aca="false">IF(H32&gt;3,"Satisfactorio",IF(H32&gt;=2,"Aceptable","Bajo"))</f>
        <v>Aceptable</v>
      </c>
    </row>
    <row r="33" customFormat="false" ht="15" hidden="false" customHeight="false" outlineLevel="0" collapsed="false">
      <c r="A33" s="25" t="n">
        <v>13</v>
      </c>
      <c r="B33" s="25" t="str">
        <f aca="false">INDEX(Respuestas!$B$6:$B$80,MATCH(A33,Respuestas!$A$6:$A$80,0))</f>
        <v>Cultura</v>
      </c>
      <c r="C33" s="6" t="str">
        <f aca="false">INDEX(Respuestas!$C$6:$C$80,MATCH(A33,Respuestas!$A$6:$A$80,0))</f>
        <v>Creo que el uso del sistema se mantendrá cuando termine el acompañamiento</v>
      </c>
      <c r="D33" s="25" t="n">
        <f aca="false">SUMIFS(Respuestas!$E$6:$E$80,Respuestas!$A$6:$A$80,$A33)</f>
        <v>9</v>
      </c>
      <c r="E33" s="25" t="n">
        <f aca="false">SUMIFS(Respuestas!$F$6:$F$80,Respuestas!$A$6:$A$80,$A33)</f>
        <v>83</v>
      </c>
      <c r="F33" s="25" t="n">
        <f aca="false">SUMIFS(Respuestas!$G$6:$G$80,Respuestas!$A$6:$A$80,$A33)</f>
        <v>173</v>
      </c>
      <c r="G33" s="25" t="n">
        <f aca="false">SUMIFS(Respuestas!$H$6:$H$80,Respuestas!$A$6:$A$80,$A33)</f>
        <v>80</v>
      </c>
      <c r="H33" s="26" t="n">
        <f aca="false">(D33+2*E33+3*F33+4*G33)/SUM(D33:G33)</f>
        <v>2.93913043478261</v>
      </c>
      <c r="I33" s="25" t="str">
        <f aca="false">IF(H33&gt;3,"Satisfactorio",IF(H33&gt;=2,"Aceptable","Bajo"))</f>
        <v>Aceptable</v>
      </c>
    </row>
    <row r="34" customFormat="false" ht="15" hidden="false" customHeight="false" outlineLevel="0" collapsed="false">
      <c r="A34" s="25" t="n">
        <v>14</v>
      </c>
      <c r="B34" s="25" t="str">
        <f aca="false">INDEX(Respuestas!$B$6:$B$80,MATCH(A34,Respuestas!$A$6:$A$80,0))</f>
        <v>Cultura</v>
      </c>
      <c r="C34" s="6" t="str">
        <f aca="false">INDEX(Respuestas!$C$6:$C$80,MATCH(A34,Respuestas!$A$6:$A$80,0))</f>
        <v>Compartiría con mis compañeros o contactos lo que aprenda sobre el sistema</v>
      </c>
      <c r="D34" s="25" t="n">
        <f aca="false">SUMIFS(Respuestas!$E$6:$E$80,Respuestas!$A$6:$A$80,$A34)</f>
        <v>12</v>
      </c>
      <c r="E34" s="25" t="n">
        <f aca="false">SUMIFS(Respuestas!$F$6:$F$80,Respuestas!$A$6:$A$80,$A34)</f>
        <v>99</v>
      </c>
      <c r="F34" s="25" t="n">
        <f aca="false">SUMIFS(Respuestas!$G$6:$G$80,Respuestas!$A$6:$A$80,$A34)</f>
        <v>168</v>
      </c>
      <c r="G34" s="25" t="n">
        <f aca="false">SUMIFS(Respuestas!$H$6:$H$80,Respuestas!$A$6:$A$80,$A34)</f>
        <v>66</v>
      </c>
      <c r="H34" s="26" t="n">
        <f aca="false">(D34+2*E34+3*F34+4*G34)/SUM(D34:G34)</f>
        <v>2.83478260869565</v>
      </c>
      <c r="I34" s="25" t="str">
        <f aca="false">IF(H34&gt;3,"Satisfactorio",IF(H34&gt;=2,"Aceptable","Bajo"))</f>
        <v>Aceptable</v>
      </c>
    </row>
    <row r="35" customFormat="false" ht="15" hidden="false" customHeight="false" outlineLevel="0" collapsed="false">
      <c r="A35" s="25" t="n">
        <v>15</v>
      </c>
      <c r="B35" s="25" t="str">
        <f aca="false">INDEX(Respuestas!$B$6:$B$80,MATCH(A35,Respuestas!$A$6:$A$80,0))</f>
        <v>Cultura</v>
      </c>
      <c r="C35" s="6" t="str">
        <f aca="false">INDEX(Respuestas!$C$6:$C$80,MATCH(A35,Respuestas!$A$6:$A$80,0))</f>
        <v>Considero que el sistema se integrará en mi forma habitual de trabajar</v>
      </c>
      <c r="D35" s="25" t="n">
        <f aca="false">SUMIFS(Respuestas!$E$6:$E$80,Respuestas!$A$6:$A$80,$A35)</f>
        <v>17</v>
      </c>
      <c r="E35" s="25" t="n">
        <f aca="false">SUMIFS(Respuestas!$F$6:$F$80,Respuestas!$A$6:$A$80,$A35)</f>
        <v>112</v>
      </c>
      <c r="F35" s="25" t="n">
        <f aca="false">SUMIFS(Respuestas!$G$6:$G$80,Respuestas!$A$6:$A$80,$A35)</f>
        <v>163</v>
      </c>
      <c r="G35" s="25" t="n">
        <f aca="false">SUMIFS(Respuestas!$H$6:$H$80,Respuestas!$A$6:$A$80,$A35)</f>
        <v>53</v>
      </c>
      <c r="H35" s="26" t="n">
        <f aca="false">(D35+2*E35+3*F35+4*G35)/SUM(D35:G35)</f>
        <v>2.7304347826087</v>
      </c>
      <c r="I35" s="25" t="str">
        <f aca="false">IF(H35&gt;3,"Satisfactorio",IF(H35&gt;=2,"Aceptable","Bajo"))</f>
        <v>Aceptable</v>
      </c>
    </row>
    <row r="38" customFormat="false" ht="15" hidden="false" customHeight="false" outlineLevel="0" collapsed="false">
      <c r="A38" s="8" t="s">
        <v>103</v>
      </c>
    </row>
    <row r="39" customFormat="false" ht="15" hidden="false" customHeight="false" outlineLevel="0" collapsed="false">
      <c r="A39" s="5" t="s">
        <v>104</v>
      </c>
      <c r="B39" s="5" t="s">
        <v>105</v>
      </c>
      <c r="C39" s="5" t="s">
        <v>91</v>
      </c>
    </row>
    <row r="40" customFormat="false" ht="15" hidden="false" customHeight="false" outlineLevel="0" collapsed="false">
      <c r="A40" s="9" t="n">
        <v>1</v>
      </c>
      <c r="B40" s="9" t="n">
        <f aca="false">D21</f>
        <v>2</v>
      </c>
      <c r="C40" s="9" t="n">
        <f aca="false">A40*B40</f>
        <v>2</v>
      </c>
    </row>
    <row r="41" customFormat="false" ht="15" hidden="false" customHeight="false" outlineLevel="0" collapsed="false">
      <c r="A41" s="9" t="n">
        <v>2</v>
      </c>
      <c r="B41" s="9" t="n">
        <f aca="false">E21</f>
        <v>40</v>
      </c>
      <c r="C41" s="9" t="n">
        <f aca="false">A41*B41</f>
        <v>80</v>
      </c>
    </row>
    <row r="42" customFormat="false" ht="15" hidden="false" customHeight="false" outlineLevel="0" collapsed="false">
      <c r="A42" s="9" t="n">
        <v>3</v>
      </c>
      <c r="B42" s="9" t="n">
        <f aca="false">F21</f>
        <v>161</v>
      </c>
      <c r="C42" s="9" t="n">
        <f aca="false">A42*B42</f>
        <v>483</v>
      </c>
    </row>
    <row r="43" customFormat="false" ht="15" hidden="false" customHeight="false" outlineLevel="0" collapsed="false">
      <c r="A43" s="9" t="n">
        <v>4</v>
      </c>
      <c r="B43" s="9" t="n">
        <f aca="false">G21</f>
        <v>142</v>
      </c>
      <c r="C43" s="9" t="n">
        <f aca="false">A43*B43</f>
        <v>568</v>
      </c>
    </row>
    <row r="44" customFormat="false" ht="15" hidden="false" customHeight="false" outlineLevel="0" collapsed="false">
      <c r="A44" s="17" t="s">
        <v>106</v>
      </c>
      <c r="B44" s="17" t="n">
        <f aca="false">SUM(B40:B43)</f>
        <v>345</v>
      </c>
      <c r="C44" s="17" t="n">
        <f aca="false">SUM(C40:C43)</f>
        <v>1133</v>
      </c>
    </row>
    <row r="45" customFormat="false" ht="15" hidden="false" customHeight="false" outlineLevel="0" collapsed="false">
      <c r="A45" s="17" t="s">
        <v>92</v>
      </c>
      <c r="B45" s="17"/>
      <c r="C45" s="22" t="n">
        <f aca="false">C44/B44</f>
        <v>3.28405797101449</v>
      </c>
    </row>
  </sheetData>
  <mergeCells count="4">
    <mergeCell ref="A1:H1"/>
    <mergeCell ref="A2:H2"/>
    <mergeCell ref="A3:H3"/>
    <mergeCell ref="A4:H4"/>
  </mergeCells>
  <conditionalFormatting sqref="H8:H13">
    <cfRule type="cellIs" priority="2" operator="equal" aboveAverage="0" equalAverage="0" bottom="0" percent="0" rank="0" text="" dxfId="0">
      <formula>"Satisfactorio"</formula>
    </cfRule>
    <cfRule type="cellIs" priority="3" operator="equal" aboveAverage="0" equalAverage="0" bottom="0" percent="0" rank="0" text="" dxfId="1">
      <formula>"Aceptable"</formula>
    </cfRule>
    <cfRule type="cellIs" priority="4" operator="equal" aboveAverage="0" equalAverage="0" bottom="0" percent="0" rank="0" text="" dxfId="2">
      <formula>"Bajo"</formula>
    </cfRule>
  </conditionalFormatting>
  <conditionalFormatting sqref="I21:I35">
    <cfRule type="cellIs" priority="5" operator="equal" aboveAverage="0" equalAverage="0" bottom="0" percent="0" rank="0" text="" dxfId="0">
      <formula>"Satisfactorio"</formula>
    </cfRule>
    <cfRule type="cellIs" priority="6" operator="equal" aboveAverage="0" equalAverage="0" bottom="0" percent="0" rank="0" text="" dxfId="1">
      <formula>"Aceptable"</formula>
    </cfRule>
    <cfRule type="cellIs" priority="7" operator="equal" aboveAverage="0" equalAverage="0" bottom="0" percent="0" rank="0" text="" dxfId="2">
      <formula>"Bajo"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10"/>
    <col collapsed="false" customWidth="true" hidden="false" outlineLevel="0" max="3" min="3" style="0" width="26"/>
  </cols>
  <sheetData>
    <row r="1" customFormat="false" ht="17.35" hidden="false" customHeight="false" outlineLevel="0" collapsed="false">
      <c r="A1" s="27" t="s">
        <v>107</v>
      </c>
    </row>
    <row r="3" customFormat="false" ht="23.85" hidden="false" customHeight="false" outlineLevel="0" collapsed="false">
      <c r="A3" s="28" t="s">
        <v>108</v>
      </c>
      <c r="B3" s="29" t="s">
        <v>109</v>
      </c>
    </row>
    <row r="4" customFormat="false" ht="35.05" hidden="false" customHeight="false" outlineLevel="0" collapsed="false">
      <c r="A4" s="28" t="s">
        <v>110</v>
      </c>
      <c r="B4" s="29" t="s">
        <v>111</v>
      </c>
    </row>
    <row r="5" customFormat="false" ht="46.25" hidden="false" customHeight="false" outlineLevel="0" collapsed="false">
      <c r="A5" s="28" t="s">
        <v>112</v>
      </c>
      <c r="B5" s="29" t="s">
        <v>113</v>
      </c>
    </row>
    <row r="7" customFormat="false" ht="15" hidden="false" customHeight="false" outlineLevel="0" collapsed="false">
      <c r="A7" s="8" t="s">
        <v>114</v>
      </c>
    </row>
    <row r="8" customFormat="false" ht="15" hidden="false" customHeight="false" outlineLevel="0" collapsed="false">
      <c r="A8" s="5" t="s">
        <v>115</v>
      </c>
      <c r="B8" s="5" t="s">
        <v>116</v>
      </c>
      <c r="C8" s="5" t="s">
        <v>117</v>
      </c>
    </row>
    <row r="9" customFormat="false" ht="23.85" hidden="false" customHeight="false" outlineLevel="0" collapsed="false">
      <c r="A9" s="6" t="s">
        <v>118</v>
      </c>
      <c r="B9" s="6" t="s">
        <v>119</v>
      </c>
      <c r="C9" s="6" t="s">
        <v>120</v>
      </c>
    </row>
    <row r="10" customFormat="false" ht="15" hidden="false" customHeight="false" outlineLevel="0" collapsed="false">
      <c r="A10" s="6" t="s">
        <v>121</v>
      </c>
      <c r="B10" s="6" t="s">
        <v>122</v>
      </c>
      <c r="C10" s="6" t="s">
        <v>123</v>
      </c>
    </row>
    <row r="11" customFormat="false" ht="15" hidden="false" customHeight="false" outlineLevel="0" collapsed="false">
      <c r="A11" s="6" t="s">
        <v>124</v>
      </c>
      <c r="B11" s="6" t="s">
        <v>125</v>
      </c>
      <c r="C11" s="6" t="s">
        <v>126</v>
      </c>
    </row>
    <row r="12" customFormat="false" ht="15" hidden="false" customHeight="false" outlineLevel="0" collapsed="false">
      <c r="A12" s="6" t="s">
        <v>127</v>
      </c>
      <c r="B12" s="6" t="s">
        <v>128</v>
      </c>
      <c r="C12" s="6" t="s">
        <v>32</v>
      </c>
    </row>
    <row r="13" customFormat="false" ht="15" hidden="false" customHeight="false" outlineLevel="0" collapsed="false">
      <c r="A13" s="6" t="s">
        <v>129</v>
      </c>
      <c r="B13" s="6" t="s">
        <v>130</v>
      </c>
      <c r="C13" s="6" t="s">
        <v>131</v>
      </c>
    </row>
    <row r="15" customFormat="false" ht="15" hidden="false" customHeight="false" outlineLevel="0" collapsed="false">
      <c r="A15" s="19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2026-10-27T14:51:55Z</dcterms:created>
  <dc:creator>openpyxl</dc:creator>
  <dc:description/>
  <dc:language>en-US</dc:language>
  <cp:lastModifiedBy/>
  <dcterms:modified xsi:type="dcterms:W3CDTF">2026-10-27T14:51:55Z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